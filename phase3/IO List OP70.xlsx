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O List" sheetId="1" r:id="rId4"/>
    <sheet state="visible" name="CoDeSysIOs" sheetId="2" r:id="rId5"/>
    <sheet state="visible" name="CoDeSysGVL" sheetId="3" r:id="rId6"/>
    <sheet state="visible" name="RobotStudio" sheetId="4" r:id="rId7"/>
  </sheets>
  <definedNames/>
  <calcPr/>
  <extLst>
    <ext uri="GoogleSheetsCustomDataVersion2">
      <go:sheetsCustomData xmlns:go="http://customooxmlschemas.google.com/" r:id="rId8" roundtripDataChecksum="mK/B9wttScG37EH5XoypLoG81eHV5fCmxiZnNTj9c/w="/>
    </ext>
  </extLst>
</workbook>
</file>

<file path=xl/sharedStrings.xml><?xml version="1.0" encoding="utf-8"?>
<sst xmlns="http://schemas.openxmlformats.org/spreadsheetml/2006/main" count="1568" uniqueCount="528">
  <si>
    <t>BOOL</t>
  </si>
  <si>
    <t>Input</t>
  </si>
  <si>
    <t>GVL</t>
  </si>
  <si>
    <t>Note: Inputs are addressed to M area to allow writing via Codesys OPC-UA server.</t>
  </si>
  <si>
    <t>INT</t>
  </si>
  <si>
    <t>Output</t>
  </si>
  <si>
    <t>IOs</t>
  </si>
  <si>
    <t>Name</t>
  </si>
  <si>
    <t>List</t>
  </si>
  <si>
    <t>Address</t>
  </si>
  <si>
    <t>Type</t>
  </si>
  <si>
    <t>Direction</t>
  </si>
  <si>
    <t>Comment</t>
  </si>
  <si>
    <t>Check</t>
  </si>
  <si>
    <t>-</t>
  </si>
  <si>
    <t>SOP004_A1_4</t>
  </si>
  <si>
    <t>MW0</t>
  </si>
  <si>
    <t>16 DI Card, Input 0-16</t>
  </si>
  <si>
    <t>SOP700_S1</t>
  </si>
  <si>
    <t>MX0.0</t>
  </si>
  <si>
    <t>Control Voltage On</t>
  </si>
  <si>
    <t>SOP700_S2</t>
  </si>
  <si>
    <t>MX0.1</t>
  </si>
  <si>
    <t>Control Voltage Off (NC)</t>
  </si>
  <si>
    <t>SOP700_S3</t>
  </si>
  <si>
    <t>MX0.2</t>
  </si>
  <si>
    <t>Manual/Auto. True=Automatic.  False=Manual</t>
  </si>
  <si>
    <t>//Reserved</t>
  </si>
  <si>
    <t>MX0.3</t>
  </si>
  <si>
    <t>SOP700_S5</t>
  </si>
  <si>
    <t>MX0.4</t>
  </si>
  <si>
    <t>Cycle Start</t>
  </si>
  <si>
    <t>SOP700_S6</t>
  </si>
  <si>
    <t>MX0.5</t>
  </si>
  <si>
    <t>Cycle Stop</t>
  </si>
  <si>
    <t>SOP700_S11</t>
  </si>
  <si>
    <t>MX0.6</t>
  </si>
  <si>
    <t xml:space="preserve">Entry Request </t>
  </si>
  <si>
    <t>SOP700_S8</t>
  </si>
  <si>
    <t>MX0.7</t>
  </si>
  <si>
    <t>Reset Alarm</t>
  </si>
  <si>
    <t>MX1.0</t>
  </si>
  <si>
    <t>SOP700_S7</t>
  </si>
  <si>
    <t>MX1.1</t>
  </si>
  <si>
    <t>Halt (NC)</t>
  </si>
  <si>
    <t>SOP700_NS1</t>
  </si>
  <si>
    <t>MX1.2</t>
  </si>
  <si>
    <t>Emergency Stop (NC)</t>
  </si>
  <si>
    <t>SOP750_NS1</t>
  </si>
  <si>
    <t>MX1.3</t>
  </si>
  <si>
    <t>SOP720_HMI_NS1</t>
  </si>
  <si>
    <t>MX1.4</t>
  </si>
  <si>
    <t>SOP723_HMI_NS1</t>
  </si>
  <si>
    <t>MX1.5</t>
  </si>
  <si>
    <t>MX1.6</t>
  </si>
  <si>
    <t>MX1.7</t>
  </si>
  <si>
    <t>SOP004_A1_5</t>
  </si>
  <si>
    <t>MW1</t>
  </si>
  <si>
    <t>SOP750_FQ1</t>
  </si>
  <si>
    <t>MX2.0</t>
  </si>
  <si>
    <t>Supply Power Line Circuit Breaker</t>
  </si>
  <si>
    <t>SOP751_FQ1</t>
  </si>
  <si>
    <t>MX2.1</t>
  </si>
  <si>
    <t>Power Suply Prim. Protection</t>
  </si>
  <si>
    <t>SOP751_F10</t>
  </si>
  <si>
    <t>MX2.2</t>
  </si>
  <si>
    <t>Power Suply Sec. Protection</t>
  </si>
  <si>
    <t>SOP751_F11</t>
  </si>
  <si>
    <t>MX2.3</t>
  </si>
  <si>
    <t>PLC Input Protection</t>
  </si>
  <si>
    <t>SOP751_F12</t>
  </si>
  <si>
    <t>MX2.4</t>
  </si>
  <si>
    <t>PLC Output Protection</t>
  </si>
  <si>
    <t>SOP751_F13</t>
  </si>
  <si>
    <t>MX2.5</t>
  </si>
  <si>
    <t>Safety Circuit Protection</t>
  </si>
  <si>
    <t>SOP750_K1</t>
  </si>
  <si>
    <t>MX2.6</t>
  </si>
  <si>
    <t>Safety Circuit OK</t>
  </si>
  <si>
    <t>SOP750_B1</t>
  </si>
  <si>
    <t>MX2.7</t>
  </si>
  <si>
    <t>Pneumatic Pressure OK</t>
  </si>
  <si>
    <t>SOP750_K7</t>
  </si>
  <si>
    <t>MX3.0</t>
  </si>
  <si>
    <t>Safety Gate open</t>
  </si>
  <si>
    <t>SOP750_K8</t>
  </si>
  <si>
    <t>MX3.1</t>
  </si>
  <si>
    <t>Gate Unlock Confirmation</t>
  </si>
  <si>
    <t>SOP750_B2</t>
  </si>
  <si>
    <t>MX3.2</t>
  </si>
  <si>
    <t>Gate Closed Sensor</t>
  </si>
  <si>
    <t>SOP750_B3</t>
  </si>
  <si>
    <t>MX3.3</t>
  </si>
  <si>
    <t>Safety Mat Activated</t>
  </si>
  <si>
    <t>SOP740_RobotReady</t>
  </si>
  <si>
    <t>MX3.4</t>
  </si>
  <si>
    <t>The robot is ready to move</t>
  </si>
  <si>
    <t>SOP740_ProductPlaced</t>
  </si>
  <si>
    <t>MX3.5</t>
  </si>
  <si>
    <t>The robot has finished</t>
  </si>
  <si>
    <t>MX3.6</t>
  </si>
  <si>
    <t>MX3.7</t>
  </si>
  <si>
    <t>SOP004_A1_6</t>
  </si>
  <si>
    <t>MW2</t>
  </si>
  <si>
    <t>SOP710_FQ1</t>
  </si>
  <si>
    <t>MX4.0</t>
  </si>
  <si>
    <t>Motor Protection Tripped (NC)</t>
  </si>
  <si>
    <t>SOP710_B1</t>
  </si>
  <si>
    <t>MX4.1</t>
  </si>
  <si>
    <t>Conveyor Sensor</t>
  </si>
  <si>
    <t>SOP711_FQ1</t>
  </si>
  <si>
    <t>MX4.2</t>
  </si>
  <si>
    <t>SOP711_B1</t>
  </si>
  <si>
    <t>MX4.3</t>
  </si>
  <si>
    <t>SOP712_FQ1</t>
  </si>
  <si>
    <t>MX4.4</t>
  </si>
  <si>
    <t>SOP712_B1</t>
  </si>
  <si>
    <t>MX4.5</t>
  </si>
  <si>
    <t>SOP713_FQ1</t>
  </si>
  <si>
    <t>MX4.6</t>
  </si>
  <si>
    <t>SOP713_B1</t>
  </si>
  <si>
    <t>MX4.7</t>
  </si>
  <si>
    <t>SOP713_B2</t>
  </si>
  <si>
    <t>MX5.0</t>
  </si>
  <si>
    <t>Front Clamp down Sensor</t>
  </si>
  <si>
    <t>SOP713_B3</t>
  </si>
  <si>
    <t>MX5.1</t>
  </si>
  <si>
    <t>Rear Clamp down Sensor</t>
  </si>
  <si>
    <t>SOP714_FQ1</t>
  </si>
  <si>
    <t>MX5.2</t>
  </si>
  <si>
    <t>SOP714_B1</t>
  </si>
  <si>
    <t>MX5.3</t>
  </si>
  <si>
    <t xml:space="preserve"> </t>
  </si>
  <si>
    <t>SOP715_FQ1</t>
  </si>
  <si>
    <t>MX5.4</t>
  </si>
  <si>
    <t>SOP715_B1</t>
  </si>
  <si>
    <t>MX5.5</t>
  </si>
  <si>
    <t>SOP716_FQ1</t>
  </si>
  <si>
    <t>MX5.6</t>
  </si>
  <si>
    <t>SOP716_B1</t>
  </si>
  <si>
    <t>MX5.7</t>
  </si>
  <si>
    <t>SOP004_A1_7</t>
  </si>
  <si>
    <t>MW3</t>
  </si>
  <si>
    <t>SOP717_FQ1</t>
  </si>
  <si>
    <t>MX6.0</t>
  </si>
  <si>
    <t>SOP717_B1</t>
  </si>
  <si>
    <t>MX6.1</t>
  </si>
  <si>
    <t>SOP720_FQ1</t>
  </si>
  <si>
    <t>MX6.2</t>
  </si>
  <si>
    <t>SOP720_B1</t>
  </si>
  <si>
    <t>MX6.3</t>
  </si>
  <si>
    <t>SOP720_FQ2</t>
  </si>
  <si>
    <t>MX6.4</t>
  </si>
  <si>
    <t>SOP720_B2</t>
  </si>
  <si>
    <t>MX6.5</t>
  </si>
  <si>
    <t>Conveyor Position Sensor. Rot. Production</t>
  </si>
  <si>
    <t>SOP720_B3</t>
  </si>
  <si>
    <t>MX6.6</t>
  </si>
  <si>
    <t>Conveyor Position Sensor. Rot. Forklift</t>
  </si>
  <si>
    <t>MX6.7</t>
  </si>
  <si>
    <t>MX7.0</t>
  </si>
  <si>
    <t>MX7.1</t>
  </si>
  <si>
    <t>MX7.2</t>
  </si>
  <si>
    <t>MX7.3</t>
  </si>
  <si>
    <t>SOP720_LC1_ON</t>
  </si>
  <si>
    <t>MX7.4</t>
  </si>
  <si>
    <t>Light Curtain Tripped OUT</t>
  </si>
  <si>
    <t>SOP720_LC2_ON</t>
  </si>
  <si>
    <t>MX7.5</t>
  </si>
  <si>
    <t>Light Curtain Tripped IN</t>
  </si>
  <si>
    <t>SOP720_B8</t>
  </si>
  <si>
    <t>MX7.6</t>
  </si>
  <si>
    <t>Button. Dispensor Refilled, Rotate counter-clockwise</t>
  </si>
  <si>
    <t>SOP720_HMI_B1</t>
  </si>
  <si>
    <t>MX7.7</t>
  </si>
  <si>
    <t>Mute Light Curtain. Rope Out</t>
  </si>
  <si>
    <t>SOP004_A1_8</t>
  </si>
  <si>
    <t>MW4</t>
  </si>
  <si>
    <t>SOP721_FQ1</t>
  </si>
  <si>
    <t>MX8.0</t>
  </si>
  <si>
    <t>SOP721_B1</t>
  </si>
  <si>
    <t>MX8.1</t>
  </si>
  <si>
    <t>SOP730_FQ1</t>
  </si>
  <si>
    <t>MX8.2</t>
  </si>
  <si>
    <t>SOP730_B1</t>
  </si>
  <si>
    <t>MX8.3</t>
  </si>
  <si>
    <t>SOP730_B2</t>
  </si>
  <si>
    <t>MX8.4</t>
  </si>
  <si>
    <t>SOP730_B3</t>
  </si>
  <si>
    <t>MX8.5</t>
  </si>
  <si>
    <t>SOP722_FQ1</t>
  </si>
  <si>
    <t>MX8.6</t>
  </si>
  <si>
    <t>SOP722_B1</t>
  </si>
  <si>
    <t>MX8.7</t>
  </si>
  <si>
    <t>SOP723_FQ1</t>
  </si>
  <si>
    <t>MX9.0</t>
  </si>
  <si>
    <t>SOP723_B1</t>
  </si>
  <si>
    <t>MX9.1</t>
  </si>
  <si>
    <t>SOP723_LC1_ON</t>
  </si>
  <si>
    <t>MX9.2</t>
  </si>
  <si>
    <t>SOP723_LC2_ON</t>
  </si>
  <si>
    <t>MX9.3</t>
  </si>
  <si>
    <t>MX9.4</t>
  </si>
  <si>
    <t>SOP723_HMI_B1</t>
  </si>
  <si>
    <t>MX9.5</t>
  </si>
  <si>
    <t>SOP720_HMI_B2</t>
  </si>
  <si>
    <t>MX9.6</t>
  </si>
  <si>
    <t>Mute Light Curtain. In</t>
  </si>
  <si>
    <t>SOP723_HMI_B2</t>
  </si>
  <si>
    <t>MX9.7</t>
  </si>
  <si>
    <t>SOP004_A1_9</t>
  </si>
  <si>
    <t>MW5</t>
  </si>
  <si>
    <t>SOP720_B9</t>
  </si>
  <si>
    <t>MX10.0</t>
  </si>
  <si>
    <t>Button. Rotate clockwise before refilling</t>
  </si>
  <si>
    <t>SOP713_B4</t>
  </si>
  <si>
    <t>MX10.1</t>
  </si>
  <si>
    <t>Front Clamp UpSensor</t>
  </si>
  <si>
    <t>SOP713_B5</t>
  </si>
  <si>
    <t>MX10.2</t>
  </si>
  <si>
    <t>Rear Clamp Up Sensor</t>
  </si>
  <si>
    <t>SOP730_B4</t>
  </si>
  <si>
    <t>MX10.3</t>
  </si>
  <si>
    <t>Front Clamp Up Sensor</t>
  </si>
  <si>
    <t>SOP730_B5</t>
  </si>
  <si>
    <t>MX10.4</t>
  </si>
  <si>
    <t>MX10.5</t>
  </si>
  <si>
    <t>MX10.6</t>
  </si>
  <si>
    <t>MX10.7</t>
  </si>
  <si>
    <t>MX11.0</t>
  </si>
  <si>
    <t>MX11.1</t>
  </si>
  <si>
    <t>MX11.2</t>
  </si>
  <si>
    <t>MX11.3</t>
  </si>
  <si>
    <t>MX11.4</t>
  </si>
  <si>
    <t>MX11.5</t>
  </si>
  <si>
    <t>MX11.6</t>
  </si>
  <si>
    <t>MX11.7</t>
  </si>
  <si>
    <t>SOP004_A1_10</t>
  </si>
  <si>
    <t>MW6</t>
  </si>
  <si>
    <t>MX12.0</t>
  </si>
  <si>
    <t>MX12.1</t>
  </si>
  <si>
    <t>Product Number (16 bits): MB16=’1605’, MB16T=’1610’, MB20=’2004’ and</t>
  </si>
  <si>
    <t>MX12.2</t>
  </si>
  <si>
    <t>MB24=’2407’.</t>
  </si>
  <si>
    <t>MX12.3</t>
  </si>
  <si>
    <t>• ID Number (32 bits): It is a unique number to identify each product (9 digits) =</t>
  </si>
  <si>
    <t>MX12.4</t>
  </si>
  <si>
    <t>YYMMDDXXX (where XXX is the running number).</t>
  </si>
  <si>
    <t>MX12.5</t>
  </si>
  <si>
    <t>• Status (16 bits): Each bit in the status word is used to mark products status after</t>
  </si>
  <si>
    <t>MX12.6</t>
  </si>
  <si>
    <t>different processes. OP060 will use bit 6 to mark the product as passed=’1’ or not</t>
  </si>
  <si>
    <t>MX12.7</t>
  </si>
  <si>
    <t>passed=’0’ after inspection. Rest of the bits in the status word should not be</t>
  </si>
  <si>
    <t>MX13.0</t>
  </si>
  <si>
    <t>changed, keeping their previous value before entering the operation.</t>
  </si>
  <si>
    <t>MX13.1</t>
  </si>
  <si>
    <t>MX13.2</t>
  </si>
  <si>
    <t>MX13.3</t>
  </si>
  <si>
    <t>MX13.4</t>
  </si>
  <si>
    <t>MX13.5</t>
  </si>
  <si>
    <t>MX13.6</t>
  </si>
  <si>
    <t>MX13.7</t>
  </si>
  <si>
    <t>QW0</t>
  </si>
  <si>
    <t>16 DO Card, Output 0-15</t>
  </si>
  <si>
    <t>SOP710_KM1</t>
  </si>
  <si>
    <t>QX0.0</t>
  </si>
  <si>
    <t>Conveyor Forward</t>
  </si>
  <si>
    <t>SOP710_KM2</t>
  </si>
  <si>
    <t>QX0.1</t>
  </si>
  <si>
    <t>Conveyor Reverse</t>
  </si>
  <si>
    <t>SOP711_KM1</t>
  </si>
  <si>
    <t>QX0.2</t>
  </si>
  <si>
    <t>SOP711_KM2</t>
  </si>
  <si>
    <t>QX0.3</t>
  </si>
  <si>
    <t>SOP712_KM1</t>
  </si>
  <si>
    <t>QX0.4</t>
  </si>
  <si>
    <t>SOP712_KM2</t>
  </si>
  <si>
    <t>QX0.5</t>
  </si>
  <si>
    <t>SOP713_KM1</t>
  </si>
  <si>
    <t>QX0.6</t>
  </si>
  <si>
    <t>SOP713_KM2</t>
  </si>
  <si>
    <t>QX0.7</t>
  </si>
  <si>
    <t>SOP713_K3</t>
  </si>
  <si>
    <t>QX1.0</t>
  </si>
  <si>
    <t>Front Clamp Up</t>
  </si>
  <si>
    <t>SOP713_K4</t>
  </si>
  <si>
    <t>QX1.1</t>
  </si>
  <si>
    <t>Front Clamp Down</t>
  </si>
  <si>
    <t>SOP713_K5</t>
  </si>
  <si>
    <t>QX1.2</t>
  </si>
  <si>
    <t>Rear Clamp Up</t>
  </si>
  <si>
    <t>SOP713_K6</t>
  </si>
  <si>
    <t>QX1.3</t>
  </si>
  <si>
    <t>Rear Clamp Down</t>
  </si>
  <si>
    <t>SOP714_KM1</t>
  </si>
  <si>
    <t>QX1.4</t>
  </si>
  <si>
    <t>SOP714_KM2</t>
  </si>
  <si>
    <t>QX1.5</t>
  </si>
  <si>
    <t>SOP715_KM1</t>
  </si>
  <si>
    <t>QX1.6</t>
  </si>
  <si>
    <t>SOP715_KM2</t>
  </si>
  <si>
    <t>QX1.7</t>
  </si>
  <si>
    <t>QW1</t>
  </si>
  <si>
    <t>SOP716_KM1</t>
  </si>
  <si>
    <t>QX2.0</t>
  </si>
  <si>
    <t>SOP716_KM2</t>
  </si>
  <si>
    <t>QX2.1</t>
  </si>
  <si>
    <t>SOP717_KM1</t>
  </si>
  <si>
    <t>QX2.2</t>
  </si>
  <si>
    <t>SOP717_KM2</t>
  </si>
  <si>
    <t>QX2.3</t>
  </si>
  <si>
    <t>SOP720_KM1</t>
  </si>
  <si>
    <t>QX2.4</t>
  </si>
  <si>
    <t>Rotation clockwise</t>
  </si>
  <si>
    <t>SOP720_KM2</t>
  </si>
  <si>
    <t>QX2.5</t>
  </si>
  <si>
    <t>Rotation anti-clockwise</t>
  </si>
  <si>
    <t>SOP720_KM3</t>
  </si>
  <si>
    <t>QX2.6</t>
  </si>
  <si>
    <t>SOP720_KM4</t>
  </si>
  <si>
    <t>QX2.7</t>
  </si>
  <si>
    <t>QX3.0</t>
  </si>
  <si>
    <t>QX3.1</t>
  </si>
  <si>
    <t>SOP720_K1</t>
  </si>
  <si>
    <t>QX3.2</t>
  </si>
  <si>
    <t>Dispensor clamp 1 ON. Orden de que se cierre</t>
  </si>
  <si>
    <t>SOP720_K2</t>
  </si>
  <si>
    <t>QX3.3</t>
  </si>
  <si>
    <t>Dispensor clamp 1 OFF. Orden de que se abra</t>
  </si>
  <si>
    <t>QX3.4</t>
  </si>
  <si>
    <t>QX3.5</t>
  </si>
  <si>
    <t>SOP720_K5</t>
  </si>
  <si>
    <t>QX3.6</t>
  </si>
  <si>
    <t>Light Curtain Mute. Out</t>
  </si>
  <si>
    <t>SOP720_K6</t>
  </si>
  <si>
    <t>QX3.7</t>
  </si>
  <si>
    <t>Light Curtain Mute. In</t>
  </si>
  <si>
    <t>SOP004_A1_11</t>
  </si>
  <si>
    <t>QW2</t>
  </si>
  <si>
    <t>SOP720_Pal_Full</t>
  </si>
  <si>
    <t>QX4.0</t>
  </si>
  <si>
    <t>Dispensor Full of Pallets</t>
  </si>
  <si>
    <t>SOP720_Pal_Refill</t>
  </si>
  <si>
    <t>QX4.1</t>
  </si>
  <si>
    <t>Refill the dispensor</t>
  </si>
  <si>
    <t>SOP720_Pal_Dispense</t>
  </si>
  <si>
    <t>QX4.2</t>
  </si>
  <si>
    <t>Dispense a pallet on the conveyor</t>
  </si>
  <si>
    <t>SOP721_KM1</t>
  </si>
  <si>
    <t>QX4.3</t>
  </si>
  <si>
    <t>SOP721_KM2</t>
  </si>
  <si>
    <t>QX4.4</t>
  </si>
  <si>
    <t>SOP730_KM1</t>
  </si>
  <si>
    <t>QX4.5</t>
  </si>
  <si>
    <t>SOP730_KM2</t>
  </si>
  <si>
    <t>QX4.6</t>
  </si>
  <si>
    <t>SOP730_K2</t>
  </si>
  <si>
    <t>QX4.7</t>
  </si>
  <si>
    <t>SOP730_K3</t>
  </si>
  <si>
    <t>QX5.0</t>
  </si>
  <si>
    <t>SOP730_K4</t>
  </si>
  <si>
    <t>QX5.1</t>
  </si>
  <si>
    <t>SOP730_K5</t>
  </si>
  <si>
    <t>QX5.2</t>
  </si>
  <si>
    <t>SOP722_KM1</t>
  </si>
  <si>
    <t>QX5.3</t>
  </si>
  <si>
    <t>SOP722_KM2</t>
  </si>
  <si>
    <t>QX5.4</t>
  </si>
  <si>
    <t>SOP723_KM1</t>
  </si>
  <si>
    <t>QX5.5</t>
  </si>
  <si>
    <t>SOP723_KM2</t>
  </si>
  <si>
    <t>QX5.6</t>
  </si>
  <si>
    <t>SOP723_K1</t>
  </si>
  <si>
    <t>QX5.7</t>
  </si>
  <si>
    <t>Light Curtain Mute Out</t>
  </si>
  <si>
    <t>SOP004_A1_12</t>
  </si>
  <si>
    <t>QW3</t>
  </si>
  <si>
    <t>SOP723_K2</t>
  </si>
  <si>
    <t>QX6.0</t>
  </si>
  <si>
    <t>Light Curtain Mute IN</t>
  </si>
  <si>
    <t>SOP740_PickProduct</t>
  </si>
  <si>
    <t>QX6.1</t>
  </si>
  <si>
    <t>Start the robot sequence</t>
  </si>
  <si>
    <t>SOP750_K3</t>
  </si>
  <si>
    <t>QX6.2</t>
  </si>
  <si>
    <t>Reset Safety Circuit</t>
  </si>
  <si>
    <t>SOP750_K4</t>
  </si>
  <si>
    <t>QX6.3</t>
  </si>
  <si>
    <t>Safety Power Line</t>
  </si>
  <si>
    <t>SOP750_K5</t>
  </si>
  <si>
    <t>QX6.4</t>
  </si>
  <si>
    <t>Safety Pneumatics</t>
  </si>
  <si>
    <t>SOP750_K6</t>
  </si>
  <si>
    <t>QX6.5</t>
  </si>
  <si>
    <t>Unlock Gate Request</t>
  </si>
  <si>
    <t>SOP700_Faulted</t>
  </si>
  <si>
    <t>QX6.6</t>
  </si>
  <si>
    <t>Error in the system</t>
  </si>
  <si>
    <t>SOP740_Pal_Pos_1</t>
  </si>
  <si>
    <t>QX6.7</t>
  </si>
  <si>
    <t>Pallet 720 Position 1</t>
  </si>
  <si>
    <t>SOP740_Pal_Pos_2</t>
  </si>
  <si>
    <t>QX7.0</t>
  </si>
  <si>
    <t>Pallet 720 Position 2</t>
  </si>
  <si>
    <t>SOP740_Pal_Pos_3</t>
  </si>
  <si>
    <t>QX7.1</t>
  </si>
  <si>
    <t>Pallet 720 Position 3</t>
  </si>
  <si>
    <t>SOP723_RetirePallet</t>
  </si>
  <si>
    <t>QX7.2</t>
  </si>
  <si>
    <t>Pallet Removed Button</t>
  </si>
  <si>
    <t>Delete_Box</t>
  </si>
  <si>
    <t>QX7.3</t>
  </si>
  <si>
    <t>QX7.4</t>
  </si>
  <si>
    <t>QX7.5</t>
  </si>
  <si>
    <t>QX7.6</t>
  </si>
  <si>
    <t>QX7.7</t>
  </si>
  <si>
    <t>SOP004_A1_13</t>
  </si>
  <si>
    <t>QW4</t>
  </si>
  <si>
    <t>SOP700_H1</t>
  </si>
  <si>
    <t>QX8.0</t>
  </si>
  <si>
    <t>Control Voltage On. WHITE Beacon 750</t>
  </si>
  <si>
    <t>SOP700_H2</t>
  </si>
  <si>
    <t>QX8.1</t>
  </si>
  <si>
    <t>Safety Circuit OK. Green</t>
  </si>
  <si>
    <t>SOP700_H3</t>
  </si>
  <si>
    <t>QX8.2</t>
  </si>
  <si>
    <t>Safety Circuit reset. Green</t>
  </si>
  <si>
    <t>SOP700_H4</t>
  </si>
  <si>
    <t>QX8.3</t>
  </si>
  <si>
    <t>Emergency Alarm. RED all beacons</t>
  </si>
  <si>
    <t>SOP700_H5</t>
  </si>
  <si>
    <t>QX8.4</t>
  </si>
  <si>
    <t>Reset Alarm Light.</t>
  </si>
  <si>
    <t>SOP700_H6</t>
  </si>
  <si>
    <t>QX8.5</t>
  </si>
  <si>
    <t>Warning. Orange HMI</t>
  </si>
  <si>
    <t>SOP700_H7</t>
  </si>
  <si>
    <t>QX8.6</t>
  </si>
  <si>
    <t>Cycle ON. GREEN all beacons</t>
  </si>
  <si>
    <t>SOP700_H8</t>
  </si>
  <si>
    <t>QX8.7</t>
  </si>
  <si>
    <t>Cycle End. Blue</t>
  </si>
  <si>
    <t>SOP700_H9</t>
  </si>
  <si>
    <t>QX9.0</t>
  </si>
  <si>
    <t>Robot Home Position Light</t>
  </si>
  <si>
    <t>SOP700_H10</t>
  </si>
  <si>
    <t>QX9.1</t>
  </si>
  <si>
    <t>Pallet Dispensor Empty. ORANGE Beacon 720</t>
  </si>
  <si>
    <t>SOP700_H11</t>
  </si>
  <si>
    <t>QX9.2</t>
  </si>
  <si>
    <t>Retire full pallet ORANGE Beacon 723</t>
  </si>
  <si>
    <t>SOP700_H14</t>
  </si>
  <si>
    <t>QX9.3</t>
  </si>
  <si>
    <t>Safety Gate Open. ORANGE Beacon 750</t>
  </si>
  <si>
    <t>SOP700_H15</t>
  </si>
  <si>
    <t>QX9.4</t>
  </si>
  <si>
    <t>Light curtain Unmuted. BLUE Beacon 720</t>
  </si>
  <si>
    <t>SOP700_H16</t>
  </si>
  <si>
    <t>QX9.5</t>
  </si>
  <si>
    <t>Light curtain Unmuted. BLUE Beacon 723</t>
  </si>
  <si>
    <t>SOP700_H12</t>
  </si>
  <si>
    <t>QX9.6</t>
  </si>
  <si>
    <t>Emergency Alarm. RED HMI</t>
  </si>
  <si>
    <t>QX9.7</t>
  </si>
  <si>
    <t>SOP004_A1_14</t>
  </si>
  <si>
    <t>QW5</t>
  </si>
  <si>
    <t>Box_MB16_Acc</t>
  </si>
  <si>
    <t>QX10.0</t>
  </si>
  <si>
    <t>Box 1 Accepted</t>
  </si>
  <si>
    <t>Box_MB16T_Acc</t>
  </si>
  <si>
    <t>QX10.1</t>
  </si>
  <si>
    <t>Box 2 Accepted</t>
  </si>
  <si>
    <t>Box_MB20_Acc</t>
  </si>
  <si>
    <t>QX10.2</t>
  </si>
  <si>
    <t>Box 3 Accepted</t>
  </si>
  <si>
    <t>Box_MB24_Acc</t>
  </si>
  <si>
    <t>QX10.3</t>
  </si>
  <si>
    <t>Box 4 Accepted</t>
  </si>
  <si>
    <t>Box_MB16_Rej</t>
  </si>
  <si>
    <t>QX10.4</t>
  </si>
  <si>
    <t>Box 1 Rejected</t>
  </si>
  <si>
    <t>Box_MB16T_Rej</t>
  </si>
  <si>
    <t>QX10.5</t>
  </si>
  <si>
    <t>Box 2 Rejected</t>
  </si>
  <si>
    <t>Box_MB20_Rej</t>
  </si>
  <si>
    <t>QX10.6</t>
  </si>
  <si>
    <t>Box 3 Rejected</t>
  </si>
  <si>
    <t>Box_MB24_Rej</t>
  </si>
  <si>
    <t>QX10.7</t>
  </si>
  <si>
    <t>Box 4 Rejected</t>
  </si>
  <si>
    <t>Pallet_Creation</t>
  </si>
  <si>
    <t>QX11.0</t>
  </si>
  <si>
    <t>Create a pallet on SOP720</t>
  </si>
  <si>
    <t>OP730_Sending</t>
  </si>
  <si>
    <t>QX11.1</t>
  </si>
  <si>
    <t>SOP730 Conveyor transfering</t>
  </si>
  <si>
    <t>QX11.2</t>
  </si>
  <si>
    <t>QX11.3</t>
  </si>
  <si>
    <t>QX11.4</t>
  </si>
  <si>
    <t>QX11.5</t>
  </si>
  <si>
    <t>QX11.6</t>
  </si>
  <si>
    <t>QX11.7</t>
  </si>
  <si>
    <t>Previous Operation</t>
  </si>
  <si>
    <t>Box_ProductNr</t>
  </si>
  <si>
    <t>Change to UINT in CoDeSys IOs</t>
  </si>
  <si>
    <t>Box_IDNumber</t>
  </si>
  <si>
    <t>Change to UDINT  in CoDeSys Ios</t>
  </si>
  <si>
    <t>Status</t>
  </si>
  <si>
    <t>Regular INT</t>
  </si>
  <si>
    <t>Next Operation</t>
  </si>
  <si>
    <t>Autogenerated CoDeSys IOs List</t>
  </si>
  <si>
    <t>Colums used for</t>
  </si>
  <si>
    <t>//Name</t>
  </si>
  <si>
    <t>RobotStudio configuration</t>
  </si>
  <si>
    <t>Autogenerated CoDeSys GVL List</t>
  </si>
  <si>
    <t>Autogenerated configuration for RobotStudio OPC UA Client configuration</t>
  </si>
  <si>
    <t>Copy into configuration .csv file and delete all empty rows.</t>
  </si>
  <si>
    <t>NamespaceUri</t>
  </si>
  <si>
    <t>IdentifierType</t>
  </si>
  <si>
    <t>Identifier</t>
  </si>
  <si>
    <t>ReadWrite</t>
  </si>
  <si>
    <t>Signal</t>
  </si>
  <si>
    <t>SignalType</t>
  </si>
  <si>
    <t>Controller</t>
  </si>
  <si>
    <t>Device</t>
  </si>
  <si>
    <t>Colum used for identifier generation</t>
  </si>
  <si>
    <t>|var|CODESYS Control Win V3 x64.Application.IOs.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</si>
</sst>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u/>
      <sz val="10.0"/>
      <color theme="1"/>
      <name val="Calibri"/>
    </font>
    <font>
      <b/>
      <u/>
      <sz val="22.0"/>
      <color theme="1"/>
      <name val="Calibri"/>
    </font>
    <font>
      <sz val="11.0"/>
      <color rgb="FF0C0C0C"/>
      <name val="Calibri"/>
    </font>
    <font>
      <b/>
      <u/>
      <sz val="22.0"/>
      <color theme="1"/>
      <name val="Calibri"/>
    </font>
    <font>
      <sz val="11.0"/>
      <color rgb="FFFF0000"/>
      <name val="Calibri"/>
    </font>
    <font>
      <color theme="1"/>
      <name val="Calibri"/>
    </font>
    <font>
      <sz val="11.0"/>
      <color theme="0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E2EFD9"/>
        <bgColor rgb="FFE2EFD9"/>
      </patternFill>
    </fill>
    <fill>
      <patternFill patternType="solid">
        <fgColor rgb="FF00FF00"/>
        <bgColor rgb="FF00FF00"/>
      </patternFill>
    </fill>
    <fill>
      <patternFill patternType="solid">
        <fgColor rgb="FFD9E2F3"/>
        <bgColor rgb="FFD9E2F3"/>
      </patternFill>
    </fill>
    <fill>
      <patternFill patternType="solid">
        <fgColor rgb="FF0CF70C"/>
        <bgColor rgb="FF0CF70C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</fills>
  <borders count="28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</border>
    <border>
      <left/>
      <right/>
      <top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top style="medium">
        <color rgb="FF000000"/>
      </top>
      <bottom/>
    </border>
    <border>
      <left/>
      <top/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4" numFmtId="0" xfId="0" applyAlignment="1" applyBorder="1" applyFont="1">
      <alignment horizontal="center"/>
    </xf>
    <xf borderId="0" fillId="0" fontId="5" numFmtId="0" xfId="0" applyAlignment="1" applyFont="1">
      <alignment horizontal="left"/>
    </xf>
    <xf borderId="2" fillId="0" fontId="1" numFmtId="0" xfId="0" applyBorder="1" applyFont="1"/>
    <xf borderId="1" fillId="2" fontId="6" numFmtId="0" xfId="0" applyBorder="1" applyFont="1"/>
    <xf borderId="1" fillId="2" fontId="6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3" fillId="0" fontId="1" numFmtId="0" xfId="0" applyBorder="1" applyFont="1"/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6" fillId="3" fontId="4" numFmtId="0" xfId="0" applyAlignment="1" applyBorder="1" applyFill="1" applyFont="1">
      <alignment horizontal="center" vertical="bottom"/>
    </xf>
    <xf borderId="7" fillId="0" fontId="1" numFmtId="0" xfId="0" applyBorder="1" applyFont="1"/>
    <xf borderId="8" fillId="4" fontId="1" numFmtId="0" xfId="0" applyAlignment="1" applyBorder="1" applyFill="1" applyFont="1">
      <alignment vertical="bottom"/>
    </xf>
    <xf borderId="9" fillId="4" fontId="1" numFmtId="0" xfId="0" applyAlignment="1" applyBorder="1" applyFont="1">
      <alignment vertical="bottom"/>
    </xf>
    <xf borderId="10" fillId="4" fontId="1" numFmtId="0" xfId="0" applyAlignment="1" applyBorder="1" applyFont="1">
      <alignment vertical="bottom"/>
    </xf>
    <xf borderId="11" fillId="5" fontId="1" numFmtId="0" xfId="0" applyAlignment="1" applyBorder="1" applyFill="1" applyFont="1">
      <alignment vertical="bottom"/>
    </xf>
    <xf borderId="1" fillId="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12" fillId="6" fontId="1" numFmtId="0" xfId="0" applyAlignment="1" applyBorder="1" applyFill="1" applyFont="1">
      <alignment vertical="bottom"/>
    </xf>
    <xf borderId="0" fillId="0" fontId="1" numFmtId="0" xfId="0" applyFont="1"/>
    <xf borderId="1" fillId="5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center" readingOrder="0" vertical="bottom"/>
    </xf>
    <xf borderId="12" fillId="3" fontId="1" numFmtId="0" xfId="0" applyAlignment="1" applyBorder="1" applyFont="1">
      <alignment vertical="bottom"/>
    </xf>
    <xf borderId="13" fillId="3" fontId="1" numFmtId="0" xfId="0" applyAlignment="1" applyBorder="1" applyFont="1">
      <alignment vertical="bottom"/>
    </xf>
    <xf borderId="1" fillId="5" fontId="4" numFmtId="0" xfId="0" applyAlignment="1" applyBorder="1" applyFont="1">
      <alignment vertical="bottom"/>
    </xf>
    <xf borderId="14" fillId="6" fontId="1" numFmtId="0" xfId="0" applyAlignment="1" applyBorder="1" applyFont="1">
      <alignment vertical="bottom"/>
    </xf>
    <xf borderId="15" fillId="6" fontId="1" numFmtId="0" xfId="0" applyAlignment="1" applyBorder="1" applyFont="1">
      <alignment vertical="bottom"/>
    </xf>
    <xf borderId="0" fillId="0" fontId="7" numFmtId="0" xfId="0" applyFont="1"/>
    <xf borderId="16" fillId="5" fontId="1" numFmtId="0" xfId="0" applyAlignment="1" applyBorder="1" applyFont="1">
      <alignment vertical="bottom"/>
    </xf>
    <xf borderId="17" fillId="5" fontId="1" numFmtId="0" xfId="0" applyAlignment="1" applyBorder="1" applyFont="1">
      <alignment horizontal="center" vertical="bottom"/>
    </xf>
    <xf borderId="17" fillId="5" fontId="1" numFmtId="0" xfId="0" applyAlignment="1" applyBorder="1" applyFont="1">
      <alignment vertical="bottom"/>
    </xf>
    <xf borderId="18" fillId="6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3" fillId="6" fontId="1" numFmtId="0" xfId="0" applyAlignment="1" applyBorder="1" applyFont="1">
      <alignment vertical="bottom"/>
    </xf>
    <xf borderId="18" fillId="3" fontId="1" numFmtId="0" xfId="0" applyAlignment="1" applyBorder="1" applyFont="1">
      <alignment vertical="bottom"/>
    </xf>
    <xf borderId="19" fillId="4" fontId="1" numFmtId="0" xfId="0" applyAlignment="1" applyBorder="1" applyFont="1">
      <alignment vertical="bottom"/>
    </xf>
    <xf borderId="18" fillId="4" fontId="1" numFmtId="0" xfId="0" applyAlignment="1" applyBorder="1" applyFont="1">
      <alignment vertical="bottom"/>
    </xf>
    <xf borderId="11" fillId="7" fontId="1" numFmtId="0" xfId="0" applyAlignment="1" applyBorder="1" applyFill="1" applyFont="1">
      <alignment vertical="bottom"/>
    </xf>
    <xf borderId="1" fillId="7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vertical="bottom"/>
    </xf>
    <xf borderId="20" fillId="7" fontId="1" numFmtId="0" xfId="0" applyAlignment="1" applyBorder="1" applyFont="1">
      <alignment vertical="bottom"/>
    </xf>
    <xf borderId="21" fillId="4" fontId="1" numFmtId="0" xfId="0" applyAlignment="1" applyBorder="1" applyFont="1">
      <alignment vertical="bottom"/>
    </xf>
    <xf borderId="20" fillId="7" fontId="1" numFmtId="0" xfId="0" applyAlignment="1" applyBorder="1" applyFont="1">
      <alignment readingOrder="0" vertical="bottom"/>
    </xf>
    <xf borderId="1" fillId="7" fontId="1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readingOrder="0" vertical="bottom"/>
    </xf>
    <xf borderId="12" fillId="8" fontId="1" numFmtId="0" xfId="0" applyAlignment="1" applyBorder="1" applyFill="1" applyFont="1">
      <alignment vertical="bottom"/>
    </xf>
    <xf borderId="22" fillId="7" fontId="1" numFmtId="0" xfId="0" applyAlignment="1" applyBorder="1" applyFont="1">
      <alignment vertical="bottom"/>
    </xf>
    <xf borderId="23" fillId="7" fontId="1" numFmtId="0" xfId="0" applyAlignment="1" applyBorder="1" applyFont="1">
      <alignment horizontal="center" vertical="bottom"/>
    </xf>
    <xf borderId="23" fillId="7" fontId="1" numFmtId="0" xfId="0" applyAlignment="1" applyBorder="1" applyFont="1">
      <alignment vertical="bottom"/>
    </xf>
    <xf borderId="23" fillId="7" fontId="1" numFmtId="0" xfId="0" applyAlignment="1" applyBorder="1" applyFont="1">
      <alignment readingOrder="0" vertical="bottom"/>
    </xf>
    <xf borderId="11" fillId="7" fontId="1" numFmtId="0" xfId="0" applyAlignment="1" applyBorder="1" applyFont="1">
      <alignment readingOrder="0" vertical="bottom"/>
    </xf>
    <xf borderId="11" fillId="9" fontId="1" numFmtId="0" xfId="0" applyAlignment="1" applyBorder="1" applyFill="1" applyFont="1">
      <alignment vertical="bottom"/>
    </xf>
    <xf borderId="1" fillId="9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vertical="bottom"/>
    </xf>
    <xf borderId="15" fillId="2" fontId="1" numFmtId="0" xfId="0" applyAlignment="1" applyBorder="1" applyFont="1">
      <alignment vertical="bottom"/>
    </xf>
    <xf borderId="22" fillId="9" fontId="1" numFmtId="0" xfId="0" applyAlignment="1" applyBorder="1" applyFont="1">
      <alignment vertical="bottom"/>
    </xf>
    <xf borderId="23" fillId="9" fontId="1" numFmtId="0" xfId="0" applyAlignment="1" applyBorder="1" applyFont="1">
      <alignment horizontal="center" vertical="bottom"/>
    </xf>
    <xf borderId="23" fillId="9" fontId="1" numFmtId="0" xfId="0" applyAlignment="1" applyBorder="1" applyFont="1">
      <alignment vertical="bottom"/>
    </xf>
    <xf borderId="0" fillId="0" fontId="4" numFmtId="0" xfId="0" applyAlignment="1" applyFont="1">
      <alignment horizontal="center"/>
    </xf>
    <xf borderId="0" fillId="0" fontId="6" numFmtId="0" xfId="0" applyFont="1"/>
    <xf borderId="4" fillId="0" fontId="6" numFmtId="0" xfId="0" applyBorder="1" applyFont="1"/>
    <xf borderId="24" fillId="0" fontId="1" numFmtId="0" xfId="0" applyBorder="1" applyFont="1"/>
    <xf borderId="25" fillId="0" fontId="6" numFmtId="0" xfId="0" applyBorder="1" applyFont="1"/>
    <xf borderId="26" fillId="0" fontId="1" numFmtId="0" xfId="0" applyBorder="1" applyFont="1"/>
    <xf borderId="1" fillId="10" fontId="8" numFmtId="0" xfId="0" applyBorder="1" applyFill="1" applyFont="1"/>
    <xf borderId="27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7.43"/>
    <col customWidth="1" min="3" max="3" width="8.0"/>
    <col customWidth="1" min="4" max="4" width="8.86"/>
    <col customWidth="1" min="5" max="5" width="10.14"/>
    <col customWidth="1" min="6" max="6" width="45.43"/>
    <col customWidth="1" min="7" max="7" width="6.71"/>
    <col customWidth="1" min="8" max="8" width="8.29"/>
    <col customWidth="1" min="9" max="26" width="8.71"/>
  </cols>
  <sheetData>
    <row r="1" ht="15.0" customHeight="1">
      <c r="A1" s="1"/>
      <c r="B1" s="2"/>
      <c r="C1" s="3"/>
      <c r="D1" s="4"/>
      <c r="E1" s="5"/>
      <c r="F1" s="1"/>
      <c r="G1" s="6"/>
      <c r="H1" s="7"/>
      <c r="I1" s="8" t="s">
        <v>0</v>
      </c>
      <c r="J1" s="8" t="s">
        <v>1</v>
      </c>
      <c r="K1" s="8" t="s">
        <v>2</v>
      </c>
    </row>
    <row r="2" ht="15.0" customHeight="1">
      <c r="A2" s="9" t="s">
        <v>3</v>
      </c>
      <c r="B2" s="10"/>
      <c r="C2" s="3"/>
      <c r="D2" s="5"/>
      <c r="E2" s="5"/>
      <c r="F2" s="1"/>
      <c r="G2" s="6"/>
      <c r="H2" s="11"/>
      <c r="I2" s="12" t="s">
        <v>4</v>
      </c>
      <c r="J2" s="12" t="s">
        <v>5</v>
      </c>
      <c r="K2" s="12" t="s">
        <v>6</v>
      </c>
    </row>
    <row r="3" ht="14.25" customHeight="1">
      <c r="A3" s="13" t="s">
        <v>7</v>
      </c>
      <c r="B3" s="14" t="s">
        <v>8</v>
      </c>
      <c r="C3" s="15" t="s">
        <v>9</v>
      </c>
      <c r="D3" s="15" t="s">
        <v>10</v>
      </c>
      <c r="E3" s="15" t="s">
        <v>11</v>
      </c>
      <c r="F3" s="15" t="s">
        <v>12</v>
      </c>
      <c r="G3" s="16" t="s">
        <v>13</v>
      </c>
      <c r="H3" s="11"/>
      <c r="I3" s="17" t="s">
        <v>14</v>
      </c>
      <c r="J3" s="17" t="s">
        <v>14</v>
      </c>
      <c r="K3" s="17" t="s">
        <v>14</v>
      </c>
    </row>
    <row r="4" ht="14.25" customHeight="1">
      <c r="A4" s="18" t="s">
        <v>15</v>
      </c>
      <c r="B4" s="19"/>
      <c r="C4" s="19" t="s">
        <v>16</v>
      </c>
      <c r="D4" s="19"/>
      <c r="E4" s="19"/>
      <c r="F4" s="19" t="s">
        <v>17</v>
      </c>
      <c r="G4" s="20"/>
      <c r="H4" s="11"/>
    </row>
    <row r="5" ht="14.25" customHeight="1">
      <c r="A5" s="21" t="s">
        <v>18</v>
      </c>
      <c r="B5" s="22" t="s">
        <v>6</v>
      </c>
      <c r="C5" s="23" t="s">
        <v>19</v>
      </c>
      <c r="D5" s="23" t="s">
        <v>0</v>
      </c>
      <c r="E5" s="23" t="s">
        <v>1</v>
      </c>
      <c r="F5" s="23" t="s">
        <v>20</v>
      </c>
      <c r="G5" s="24"/>
      <c r="H5" s="11"/>
    </row>
    <row r="6" ht="14.25" customHeight="1">
      <c r="A6" s="21" t="s">
        <v>21</v>
      </c>
      <c r="B6" s="22" t="s">
        <v>2</v>
      </c>
      <c r="C6" s="23" t="s">
        <v>22</v>
      </c>
      <c r="D6" s="23" t="s">
        <v>0</v>
      </c>
      <c r="E6" s="23" t="s">
        <v>1</v>
      </c>
      <c r="F6" s="23" t="s">
        <v>23</v>
      </c>
      <c r="G6" s="24"/>
      <c r="H6" s="11"/>
      <c r="I6" s="25"/>
      <c r="J6" s="25"/>
    </row>
    <row r="7" ht="14.25" customHeight="1">
      <c r="A7" s="21" t="s">
        <v>24</v>
      </c>
      <c r="B7" s="22" t="s">
        <v>2</v>
      </c>
      <c r="C7" s="23" t="s">
        <v>25</v>
      </c>
      <c r="D7" s="23" t="s">
        <v>0</v>
      </c>
      <c r="E7" s="23" t="s">
        <v>1</v>
      </c>
      <c r="F7" s="26" t="s">
        <v>26</v>
      </c>
      <c r="G7" s="24"/>
      <c r="H7" s="11"/>
      <c r="J7" s="25"/>
    </row>
    <row r="8" ht="14.25" customHeight="1">
      <c r="A8" s="21" t="s">
        <v>27</v>
      </c>
      <c r="B8" s="27" t="s">
        <v>14</v>
      </c>
      <c r="C8" s="23" t="s">
        <v>28</v>
      </c>
      <c r="D8" s="26" t="s">
        <v>14</v>
      </c>
      <c r="E8" s="26" t="s">
        <v>14</v>
      </c>
      <c r="F8" s="23"/>
      <c r="G8" s="24"/>
      <c r="H8" s="11"/>
      <c r="J8" s="25"/>
    </row>
    <row r="9" ht="14.25" customHeight="1">
      <c r="A9" s="21" t="s">
        <v>29</v>
      </c>
      <c r="B9" s="22" t="s">
        <v>2</v>
      </c>
      <c r="C9" s="23" t="s">
        <v>30</v>
      </c>
      <c r="D9" s="23" t="s">
        <v>0</v>
      </c>
      <c r="E9" s="23" t="s">
        <v>1</v>
      </c>
      <c r="F9" s="23" t="s">
        <v>31</v>
      </c>
      <c r="G9" s="24"/>
      <c r="H9" s="11"/>
      <c r="J9" s="25"/>
    </row>
    <row r="10" ht="14.25" customHeight="1">
      <c r="A10" s="21" t="s">
        <v>32</v>
      </c>
      <c r="B10" s="22" t="s">
        <v>2</v>
      </c>
      <c r="C10" s="23" t="s">
        <v>33</v>
      </c>
      <c r="D10" s="23" t="s">
        <v>0</v>
      </c>
      <c r="E10" s="23" t="s">
        <v>1</v>
      </c>
      <c r="F10" s="23" t="s">
        <v>34</v>
      </c>
      <c r="G10" s="24"/>
      <c r="H10" s="11"/>
    </row>
    <row r="11" ht="14.25" customHeight="1">
      <c r="A11" s="21" t="s">
        <v>35</v>
      </c>
      <c r="B11" s="22" t="s">
        <v>2</v>
      </c>
      <c r="C11" s="23" t="s">
        <v>36</v>
      </c>
      <c r="D11" s="23" t="s">
        <v>0</v>
      </c>
      <c r="E11" s="23" t="s">
        <v>1</v>
      </c>
      <c r="F11" s="23" t="s">
        <v>37</v>
      </c>
      <c r="G11" s="24"/>
      <c r="H11" s="11"/>
    </row>
    <row r="12" ht="14.25" customHeight="1">
      <c r="A12" s="21" t="s">
        <v>38</v>
      </c>
      <c r="B12" s="22" t="s">
        <v>2</v>
      </c>
      <c r="C12" s="23" t="s">
        <v>39</v>
      </c>
      <c r="D12" s="23" t="s">
        <v>0</v>
      </c>
      <c r="E12" s="23" t="s">
        <v>1</v>
      </c>
      <c r="F12" s="23" t="s">
        <v>40</v>
      </c>
      <c r="G12" s="24"/>
      <c r="H12" s="11"/>
    </row>
    <row r="13" ht="14.25" customHeight="1">
      <c r="A13" s="21" t="s">
        <v>27</v>
      </c>
      <c r="B13" s="27" t="s">
        <v>14</v>
      </c>
      <c r="C13" s="23" t="s">
        <v>41</v>
      </c>
      <c r="D13" s="26" t="s">
        <v>14</v>
      </c>
      <c r="E13" s="26" t="s">
        <v>14</v>
      </c>
      <c r="F13" s="23"/>
      <c r="G13" s="24"/>
      <c r="H13" s="11"/>
    </row>
    <row r="14" ht="14.25" customHeight="1">
      <c r="A14" s="21" t="s">
        <v>42</v>
      </c>
      <c r="B14" s="22" t="s">
        <v>2</v>
      </c>
      <c r="C14" s="23" t="s">
        <v>43</v>
      </c>
      <c r="D14" s="23" t="s">
        <v>0</v>
      </c>
      <c r="E14" s="23" t="s">
        <v>1</v>
      </c>
      <c r="F14" s="23" t="s">
        <v>44</v>
      </c>
      <c r="G14" s="24"/>
      <c r="H14" s="11"/>
    </row>
    <row r="15" ht="14.25" customHeight="1">
      <c r="A15" s="21" t="s">
        <v>45</v>
      </c>
      <c r="B15" s="22" t="s">
        <v>6</v>
      </c>
      <c r="C15" s="23" t="s">
        <v>46</v>
      </c>
      <c r="D15" s="23" t="s">
        <v>0</v>
      </c>
      <c r="E15" s="23" t="s">
        <v>1</v>
      </c>
      <c r="F15" s="23" t="s">
        <v>47</v>
      </c>
      <c r="G15" s="24"/>
      <c r="H15" s="11"/>
    </row>
    <row r="16" ht="14.25" customHeight="1">
      <c r="A16" s="21" t="s">
        <v>48</v>
      </c>
      <c r="B16" s="22" t="s">
        <v>2</v>
      </c>
      <c r="C16" s="23" t="s">
        <v>49</v>
      </c>
      <c r="D16" s="23" t="s">
        <v>0</v>
      </c>
      <c r="E16" s="23" t="s">
        <v>1</v>
      </c>
      <c r="F16" s="23" t="s">
        <v>47</v>
      </c>
      <c r="G16" s="24"/>
      <c r="H16" s="11"/>
    </row>
    <row r="17" ht="14.25" customHeight="1">
      <c r="A17" s="21" t="s">
        <v>50</v>
      </c>
      <c r="B17" s="22" t="s">
        <v>6</v>
      </c>
      <c r="C17" s="23" t="s">
        <v>51</v>
      </c>
      <c r="D17" s="23" t="s">
        <v>0</v>
      </c>
      <c r="E17" s="23" t="s">
        <v>1</v>
      </c>
      <c r="F17" s="23" t="s">
        <v>47</v>
      </c>
      <c r="G17" s="24"/>
      <c r="H17" s="11"/>
    </row>
    <row r="18" ht="14.25" customHeight="1">
      <c r="A18" s="21" t="s">
        <v>52</v>
      </c>
      <c r="B18" s="22" t="s">
        <v>6</v>
      </c>
      <c r="C18" s="23" t="s">
        <v>53</v>
      </c>
      <c r="D18" s="23" t="s">
        <v>0</v>
      </c>
      <c r="E18" s="23" t="s">
        <v>1</v>
      </c>
      <c r="F18" s="23" t="s">
        <v>47</v>
      </c>
      <c r="G18" s="24"/>
      <c r="H18" s="11"/>
    </row>
    <row r="19" ht="14.25" customHeight="1">
      <c r="A19" s="21" t="s">
        <v>27</v>
      </c>
      <c r="B19" s="22" t="s">
        <v>14</v>
      </c>
      <c r="C19" s="23" t="s">
        <v>54</v>
      </c>
      <c r="D19" s="23" t="s">
        <v>14</v>
      </c>
      <c r="E19" s="23" t="s">
        <v>14</v>
      </c>
      <c r="F19" s="23"/>
      <c r="G19" s="28"/>
      <c r="H19" s="11"/>
    </row>
    <row r="20" ht="14.25" customHeight="1">
      <c r="A20" s="21" t="s">
        <v>27</v>
      </c>
      <c r="B20" s="22" t="s">
        <v>14</v>
      </c>
      <c r="C20" s="23" t="s">
        <v>55</v>
      </c>
      <c r="D20" s="23" t="s">
        <v>14</v>
      </c>
      <c r="E20" s="23" t="s">
        <v>14</v>
      </c>
      <c r="F20" s="23"/>
      <c r="G20" s="29"/>
      <c r="H20" s="11"/>
    </row>
    <row r="21" ht="14.25" customHeight="1">
      <c r="A21" s="18" t="s">
        <v>56</v>
      </c>
      <c r="B21" s="19"/>
      <c r="C21" s="19" t="s">
        <v>57</v>
      </c>
      <c r="D21" s="19"/>
      <c r="E21" s="19"/>
      <c r="F21" s="19" t="s">
        <v>17</v>
      </c>
      <c r="G21" s="20"/>
      <c r="H21" s="11"/>
    </row>
    <row r="22" ht="14.25" customHeight="1">
      <c r="A22" s="21" t="s">
        <v>58</v>
      </c>
      <c r="B22" s="22" t="s">
        <v>6</v>
      </c>
      <c r="C22" s="23" t="s">
        <v>59</v>
      </c>
      <c r="D22" s="23" t="s">
        <v>0</v>
      </c>
      <c r="E22" s="23" t="s">
        <v>1</v>
      </c>
      <c r="F22" s="23" t="s">
        <v>60</v>
      </c>
      <c r="G22" s="24"/>
      <c r="H22" s="11"/>
    </row>
    <row r="23" ht="14.25" customHeight="1">
      <c r="A23" s="21" t="s">
        <v>61</v>
      </c>
      <c r="B23" s="22" t="s">
        <v>6</v>
      </c>
      <c r="C23" s="23" t="s">
        <v>62</v>
      </c>
      <c r="D23" s="23" t="s">
        <v>0</v>
      </c>
      <c r="E23" s="23" t="s">
        <v>1</v>
      </c>
      <c r="F23" s="23" t="s">
        <v>63</v>
      </c>
      <c r="G23" s="24"/>
      <c r="H23" s="11"/>
    </row>
    <row r="24" ht="14.25" customHeight="1">
      <c r="A24" s="21" t="s">
        <v>64</v>
      </c>
      <c r="B24" s="22" t="s">
        <v>6</v>
      </c>
      <c r="C24" s="23" t="s">
        <v>65</v>
      </c>
      <c r="D24" s="23" t="s">
        <v>0</v>
      </c>
      <c r="E24" s="23" t="s">
        <v>1</v>
      </c>
      <c r="F24" s="23" t="s">
        <v>66</v>
      </c>
      <c r="G24" s="24"/>
      <c r="H24" s="11"/>
    </row>
    <row r="25" ht="14.25" customHeight="1">
      <c r="A25" s="21" t="s">
        <v>67</v>
      </c>
      <c r="B25" s="22" t="s">
        <v>6</v>
      </c>
      <c r="C25" s="23" t="s">
        <v>68</v>
      </c>
      <c r="D25" s="23" t="s">
        <v>0</v>
      </c>
      <c r="E25" s="23" t="s">
        <v>1</v>
      </c>
      <c r="F25" s="23" t="s">
        <v>69</v>
      </c>
      <c r="G25" s="24"/>
      <c r="H25" s="11"/>
    </row>
    <row r="26" ht="14.25" customHeight="1">
      <c r="A26" s="21" t="s">
        <v>70</v>
      </c>
      <c r="B26" s="22" t="s">
        <v>6</v>
      </c>
      <c r="C26" s="23" t="s">
        <v>71</v>
      </c>
      <c r="D26" s="23" t="s">
        <v>0</v>
      </c>
      <c r="E26" s="23" t="s">
        <v>1</v>
      </c>
      <c r="F26" s="23" t="s">
        <v>72</v>
      </c>
      <c r="G26" s="24"/>
      <c r="H26" s="11"/>
    </row>
    <row r="27" ht="14.25" customHeight="1">
      <c r="A27" s="21" t="s">
        <v>73</v>
      </c>
      <c r="B27" s="22" t="s">
        <v>6</v>
      </c>
      <c r="C27" s="23" t="s">
        <v>74</v>
      </c>
      <c r="D27" s="23" t="s">
        <v>0</v>
      </c>
      <c r="E27" s="23" t="s">
        <v>1</v>
      </c>
      <c r="F27" s="23" t="s">
        <v>75</v>
      </c>
      <c r="G27" s="24"/>
      <c r="H27" s="11"/>
    </row>
    <row r="28" ht="14.25" customHeight="1">
      <c r="A28" s="21" t="s">
        <v>76</v>
      </c>
      <c r="B28" s="22" t="s">
        <v>6</v>
      </c>
      <c r="C28" s="23" t="s">
        <v>77</v>
      </c>
      <c r="D28" s="23" t="s">
        <v>0</v>
      </c>
      <c r="E28" s="23" t="s">
        <v>1</v>
      </c>
      <c r="F28" s="23" t="s">
        <v>78</v>
      </c>
      <c r="G28" s="24"/>
      <c r="H28" s="11"/>
    </row>
    <row r="29" ht="14.25" customHeight="1">
      <c r="A29" s="21" t="s">
        <v>79</v>
      </c>
      <c r="B29" s="22" t="s">
        <v>6</v>
      </c>
      <c r="C29" s="23" t="s">
        <v>80</v>
      </c>
      <c r="D29" s="23" t="s">
        <v>0</v>
      </c>
      <c r="E29" s="23" t="s">
        <v>1</v>
      </c>
      <c r="F29" s="23" t="s">
        <v>81</v>
      </c>
      <c r="G29" s="24"/>
      <c r="H29" s="11"/>
    </row>
    <row r="30" ht="14.25" customHeight="1">
      <c r="A30" s="21" t="s">
        <v>82</v>
      </c>
      <c r="B30" s="22" t="s">
        <v>2</v>
      </c>
      <c r="C30" s="23" t="s">
        <v>83</v>
      </c>
      <c r="D30" s="23" t="s">
        <v>0</v>
      </c>
      <c r="E30" s="23" t="s">
        <v>1</v>
      </c>
      <c r="F30" s="30" t="s">
        <v>84</v>
      </c>
      <c r="G30" s="24"/>
      <c r="H30" s="11"/>
    </row>
    <row r="31" ht="14.25" customHeight="1">
      <c r="A31" s="21" t="s">
        <v>85</v>
      </c>
      <c r="B31" s="22" t="s">
        <v>6</v>
      </c>
      <c r="C31" s="23" t="s">
        <v>86</v>
      </c>
      <c r="D31" s="23" t="s">
        <v>0</v>
      </c>
      <c r="E31" s="23" t="s">
        <v>1</v>
      </c>
      <c r="F31" s="23" t="s">
        <v>87</v>
      </c>
      <c r="G31" s="24"/>
      <c r="H31" s="11"/>
    </row>
    <row r="32" ht="14.25" customHeight="1">
      <c r="A32" s="21" t="s">
        <v>88</v>
      </c>
      <c r="B32" s="22" t="s">
        <v>6</v>
      </c>
      <c r="C32" s="23" t="s">
        <v>89</v>
      </c>
      <c r="D32" s="23" t="s">
        <v>0</v>
      </c>
      <c r="E32" s="23" t="s">
        <v>1</v>
      </c>
      <c r="F32" s="30" t="s">
        <v>90</v>
      </c>
      <c r="G32" s="24"/>
      <c r="H32" s="11"/>
    </row>
    <row r="33" ht="14.25" customHeight="1">
      <c r="A33" s="21" t="s">
        <v>91</v>
      </c>
      <c r="B33" s="22" t="s">
        <v>6</v>
      </c>
      <c r="C33" s="23" t="s">
        <v>92</v>
      </c>
      <c r="D33" s="23" t="s">
        <v>0</v>
      </c>
      <c r="E33" s="23" t="s">
        <v>1</v>
      </c>
      <c r="F33" s="23" t="s">
        <v>93</v>
      </c>
      <c r="G33" s="24"/>
      <c r="H33" s="11"/>
    </row>
    <row r="34" ht="14.25" customHeight="1">
      <c r="A34" s="21" t="s">
        <v>94</v>
      </c>
      <c r="B34" s="22" t="s">
        <v>6</v>
      </c>
      <c r="C34" s="23" t="s">
        <v>95</v>
      </c>
      <c r="D34" s="23" t="s">
        <v>0</v>
      </c>
      <c r="E34" s="23" t="s">
        <v>1</v>
      </c>
      <c r="F34" s="23" t="s">
        <v>96</v>
      </c>
      <c r="G34" s="24"/>
      <c r="H34" s="11"/>
    </row>
    <row r="35" ht="14.25" customHeight="1">
      <c r="A35" s="21" t="s">
        <v>97</v>
      </c>
      <c r="B35" s="22" t="s">
        <v>6</v>
      </c>
      <c r="C35" s="23" t="s">
        <v>98</v>
      </c>
      <c r="D35" s="23" t="s">
        <v>0</v>
      </c>
      <c r="E35" s="23" t="s">
        <v>1</v>
      </c>
      <c r="F35" s="23" t="s">
        <v>99</v>
      </c>
      <c r="G35" s="24"/>
      <c r="H35" s="11"/>
    </row>
    <row r="36" ht="14.25" customHeight="1">
      <c r="A36" s="21" t="s">
        <v>27</v>
      </c>
      <c r="B36" s="22" t="s">
        <v>14</v>
      </c>
      <c r="C36" s="23" t="s">
        <v>100</v>
      </c>
      <c r="D36" s="23" t="s">
        <v>14</v>
      </c>
      <c r="E36" s="23" t="s">
        <v>14</v>
      </c>
      <c r="F36" s="23"/>
      <c r="G36" s="28"/>
      <c r="H36" s="11"/>
    </row>
    <row r="37" ht="14.25" customHeight="1">
      <c r="A37" s="21" t="s">
        <v>27</v>
      </c>
      <c r="B37" s="22" t="s">
        <v>14</v>
      </c>
      <c r="C37" s="23" t="s">
        <v>101</v>
      </c>
      <c r="D37" s="23" t="s">
        <v>14</v>
      </c>
      <c r="E37" s="23" t="s">
        <v>14</v>
      </c>
      <c r="F37" s="23"/>
      <c r="G37" s="28"/>
      <c r="H37" s="11"/>
    </row>
    <row r="38" ht="14.25" customHeight="1">
      <c r="A38" s="18" t="s">
        <v>102</v>
      </c>
      <c r="B38" s="19"/>
      <c r="C38" s="19" t="s">
        <v>103</v>
      </c>
      <c r="D38" s="19"/>
      <c r="E38" s="19"/>
      <c r="F38" s="19" t="s">
        <v>17</v>
      </c>
      <c r="G38" s="20"/>
      <c r="H38" s="11"/>
    </row>
    <row r="39" ht="14.25" customHeight="1">
      <c r="A39" s="21" t="s">
        <v>104</v>
      </c>
      <c r="B39" s="22" t="s">
        <v>6</v>
      </c>
      <c r="C39" s="23" t="s">
        <v>105</v>
      </c>
      <c r="D39" s="23" t="s">
        <v>0</v>
      </c>
      <c r="E39" s="23" t="s">
        <v>1</v>
      </c>
      <c r="F39" s="23" t="s">
        <v>106</v>
      </c>
      <c r="G39" s="24"/>
      <c r="H39" s="11"/>
    </row>
    <row r="40" ht="14.25" customHeight="1">
      <c r="A40" s="21" t="s">
        <v>107</v>
      </c>
      <c r="B40" s="22" t="s">
        <v>6</v>
      </c>
      <c r="C40" s="23" t="s">
        <v>108</v>
      </c>
      <c r="D40" s="23" t="s">
        <v>0</v>
      </c>
      <c r="E40" s="23" t="s">
        <v>1</v>
      </c>
      <c r="F40" s="23" t="s">
        <v>109</v>
      </c>
      <c r="G40" s="24"/>
      <c r="H40" s="11"/>
    </row>
    <row r="41" ht="14.25" customHeight="1">
      <c r="A41" s="21" t="s">
        <v>110</v>
      </c>
      <c r="B41" s="22" t="s">
        <v>6</v>
      </c>
      <c r="C41" s="23" t="s">
        <v>111</v>
      </c>
      <c r="D41" s="23" t="s">
        <v>0</v>
      </c>
      <c r="E41" s="23" t="s">
        <v>1</v>
      </c>
      <c r="F41" s="23" t="s">
        <v>106</v>
      </c>
      <c r="G41" s="24"/>
      <c r="H41" s="11"/>
    </row>
    <row r="42" ht="14.25" customHeight="1">
      <c r="A42" s="21" t="s">
        <v>112</v>
      </c>
      <c r="B42" s="22" t="s">
        <v>6</v>
      </c>
      <c r="C42" s="23" t="s">
        <v>113</v>
      </c>
      <c r="D42" s="23" t="s">
        <v>0</v>
      </c>
      <c r="E42" s="23" t="s">
        <v>1</v>
      </c>
      <c r="F42" s="23" t="s">
        <v>109</v>
      </c>
      <c r="G42" s="24"/>
      <c r="H42" s="11"/>
    </row>
    <row r="43" ht="14.25" customHeight="1">
      <c r="A43" s="21" t="s">
        <v>114</v>
      </c>
      <c r="B43" s="22" t="s">
        <v>6</v>
      </c>
      <c r="C43" s="23" t="s">
        <v>115</v>
      </c>
      <c r="D43" s="23" t="s">
        <v>0</v>
      </c>
      <c r="E43" s="23" t="s">
        <v>1</v>
      </c>
      <c r="F43" s="23" t="s">
        <v>106</v>
      </c>
      <c r="G43" s="24"/>
      <c r="H43" s="11"/>
    </row>
    <row r="44" ht="14.25" customHeight="1">
      <c r="A44" s="21" t="s">
        <v>116</v>
      </c>
      <c r="B44" s="22" t="s">
        <v>6</v>
      </c>
      <c r="C44" s="23" t="s">
        <v>117</v>
      </c>
      <c r="D44" s="23" t="s">
        <v>0</v>
      </c>
      <c r="E44" s="23" t="s">
        <v>1</v>
      </c>
      <c r="F44" s="23" t="s">
        <v>109</v>
      </c>
      <c r="G44" s="24"/>
      <c r="H44" s="11"/>
    </row>
    <row r="45" ht="14.25" customHeight="1">
      <c r="A45" s="21" t="s">
        <v>118</v>
      </c>
      <c r="B45" s="22" t="s">
        <v>6</v>
      </c>
      <c r="C45" s="23" t="s">
        <v>119</v>
      </c>
      <c r="D45" s="23" t="s">
        <v>0</v>
      </c>
      <c r="E45" s="23" t="s">
        <v>1</v>
      </c>
      <c r="F45" s="23" t="s">
        <v>106</v>
      </c>
      <c r="G45" s="31"/>
      <c r="H45" s="11"/>
    </row>
    <row r="46" ht="14.25" customHeight="1">
      <c r="A46" s="21" t="s">
        <v>120</v>
      </c>
      <c r="B46" s="22" t="s">
        <v>6</v>
      </c>
      <c r="C46" s="23" t="s">
        <v>121</v>
      </c>
      <c r="D46" s="23" t="s">
        <v>0</v>
      </c>
      <c r="E46" s="23" t="s">
        <v>1</v>
      </c>
      <c r="F46" s="23" t="s">
        <v>109</v>
      </c>
      <c r="G46" s="24"/>
      <c r="H46" s="11"/>
    </row>
    <row r="47" ht="14.25" customHeight="1">
      <c r="A47" s="21" t="s">
        <v>122</v>
      </c>
      <c r="B47" s="22" t="s">
        <v>6</v>
      </c>
      <c r="C47" s="23" t="s">
        <v>123</v>
      </c>
      <c r="D47" s="23" t="s">
        <v>0</v>
      </c>
      <c r="E47" s="23" t="s">
        <v>1</v>
      </c>
      <c r="F47" s="23" t="s">
        <v>124</v>
      </c>
      <c r="G47" s="24"/>
      <c r="H47" s="11"/>
    </row>
    <row r="48" ht="14.25" customHeight="1">
      <c r="A48" s="21" t="s">
        <v>125</v>
      </c>
      <c r="B48" s="22" t="s">
        <v>6</v>
      </c>
      <c r="C48" s="23" t="s">
        <v>126</v>
      </c>
      <c r="D48" s="23" t="s">
        <v>0</v>
      </c>
      <c r="E48" s="23" t="s">
        <v>1</v>
      </c>
      <c r="F48" s="23" t="s">
        <v>127</v>
      </c>
      <c r="G48" s="32"/>
      <c r="H48" s="11"/>
    </row>
    <row r="49" ht="14.25" customHeight="1">
      <c r="A49" s="21" t="s">
        <v>128</v>
      </c>
      <c r="B49" s="22" t="s">
        <v>6</v>
      </c>
      <c r="C49" s="23" t="s">
        <v>129</v>
      </c>
      <c r="D49" s="23" t="s">
        <v>0</v>
      </c>
      <c r="E49" s="23" t="s">
        <v>1</v>
      </c>
      <c r="F49" s="23" t="s">
        <v>106</v>
      </c>
      <c r="G49" s="24"/>
      <c r="H49" s="11"/>
    </row>
    <row r="50" ht="14.25" customHeight="1">
      <c r="A50" s="21" t="s">
        <v>130</v>
      </c>
      <c r="B50" s="22" t="s">
        <v>6</v>
      </c>
      <c r="C50" s="23" t="s">
        <v>131</v>
      </c>
      <c r="D50" s="23" t="s">
        <v>0</v>
      </c>
      <c r="E50" s="23" t="s">
        <v>1</v>
      </c>
      <c r="F50" s="23" t="s">
        <v>109</v>
      </c>
      <c r="G50" s="24"/>
      <c r="H50" s="11"/>
      <c r="I50" s="33" t="s">
        <v>132</v>
      </c>
    </row>
    <row r="51" ht="14.25" customHeight="1">
      <c r="A51" s="21" t="s">
        <v>133</v>
      </c>
      <c r="B51" s="22" t="s">
        <v>6</v>
      </c>
      <c r="C51" s="23" t="s">
        <v>134</v>
      </c>
      <c r="D51" s="23" t="s">
        <v>0</v>
      </c>
      <c r="E51" s="23" t="s">
        <v>1</v>
      </c>
      <c r="F51" s="23" t="s">
        <v>106</v>
      </c>
      <c r="G51" s="32"/>
      <c r="H51" s="11"/>
    </row>
    <row r="52" ht="14.25" customHeight="1">
      <c r="A52" s="34" t="s">
        <v>135</v>
      </c>
      <c r="B52" s="35" t="s">
        <v>6</v>
      </c>
      <c r="C52" s="23" t="s">
        <v>136</v>
      </c>
      <c r="D52" s="36" t="s">
        <v>0</v>
      </c>
      <c r="E52" s="36" t="s">
        <v>1</v>
      </c>
      <c r="F52" s="36" t="s">
        <v>109</v>
      </c>
      <c r="G52" s="24"/>
      <c r="H52" s="11"/>
    </row>
    <row r="53" ht="14.25" customHeight="1">
      <c r="A53" s="21" t="s">
        <v>137</v>
      </c>
      <c r="B53" s="22" t="s">
        <v>6</v>
      </c>
      <c r="C53" s="23" t="s">
        <v>138</v>
      </c>
      <c r="D53" s="23" t="s">
        <v>0</v>
      </c>
      <c r="E53" s="23" t="s">
        <v>1</v>
      </c>
      <c r="F53" s="23" t="s">
        <v>106</v>
      </c>
      <c r="G53" s="24"/>
      <c r="H53" s="11"/>
    </row>
    <row r="54" ht="14.25" customHeight="1">
      <c r="A54" s="21" t="s">
        <v>139</v>
      </c>
      <c r="B54" s="22" t="s">
        <v>6</v>
      </c>
      <c r="C54" s="23" t="s">
        <v>140</v>
      </c>
      <c r="D54" s="23" t="s">
        <v>0</v>
      </c>
      <c r="E54" s="23" t="s">
        <v>1</v>
      </c>
      <c r="F54" s="23" t="s">
        <v>109</v>
      </c>
      <c r="G54" s="37"/>
      <c r="H54" s="11"/>
    </row>
    <row r="55" ht="14.25" customHeight="1">
      <c r="A55" s="18" t="s">
        <v>141</v>
      </c>
      <c r="B55" s="19"/>
      <c r="C55" s="19" t="s">
        <v>142</v>
      </c>
      <c r="D55" s="19"/>
      <c r="E55" s="19"/>
      <c r="F55" s="19" t="s">
        <v>17</v>
      </c>
      <c r="G55" s="20"/>
      <c r="H55" s="11"/>
    </row>
    <row r="56" ht="14.25" customHeight="1">
      <c r="A56" s="21" t="s">
        <v>143</v>
      </c>
      <c r="B56" s="22" t="s">
        <v>6</v>
      </c>
      <c r="C56" s="23" t="s">
        <v>144</v>
      </c>
      <c r="D56" s="23" t="s">
        <v>0</v>
      </c>
      <c r="E56" s="23" t="s">
        <v>1</v>
      </c>
      <c r="F56" s="23" t="s">
        <v>106</v>
      </c>
      <c r="G56" s="24"/>
      <c r="H56" s="11"/>
    </row>
    <row r="57" ht="14.25" customHeight="1">
      <c r="A57" s="21" t="s">
        <v>145</v>
      </c>
      <c r="B57" s="22" t="s">
        <v>6</v>
      </c>
      <c r="C57" s="23" t="s">
        <v>146</v>
      </c>
      <c r="D57" s="23" t="s">
        <v>0</v>
      </c>
      <c r="E57" s="23" t="s">
        <v>1</v>
      </c>
      <c r="F57" s="23" t="s">
        <v>109</v>
      </c>
      <c r="G57" s="24"/>
      <c r="H57" s="11"/>
    </row>
    <row r="58" ht="14.25" customHeight="1">
      <c r="A58" s="21" t="s">
        <v>147</v>
      </c>
      <c r="B58" s="22" t="s">
        <v>6</v>
      </c>
      <c r="C58" s="23" t="s">
        <v>148</v>
      </c>
      <c r="D58" s="23" t="s">
        <v>0</v>
      </c>
      <c r="E58" s="23" t="s">
        <v>1</v>
      </c>
      <c r="F58" s="23" t="s">
        <v>106</v>
      </c>
      <c r="G58" s="24"/>
      <c r="H58" s="11"/>
    </row>
    <row r="59" ht="14.25" customHeight="1">
      <c r="A59" s="21" t="s">
        <v>149</v>
      </c>
      <c r="B59" s="22" t="s">
        <v>6</v>
      </c>
      <c r="C59" s="23" t="s">
        <v>150</v>
      </c>
      <c r="D59" s="23" t="s">
        <v>0</v>
      </c>
      <c r="E59" s="23" t="s">
        <v>1</v>
      </c>
      <c r="F59" s="23" t="s">
        <v>109</v>
      </c>
      <c r="G59" s="24"/>
      <c r="H59" s="11"/>
    </row>
    <row r="60" ht="14.25" customHeight="1">
      <c r="A60" s="21" t="s">
        <v>151</v>
      </c>
      <c r="B60" s="22" t="s">
        <v>6</v>
      </c>
      <c r="C60" s="23" t="s">
        <v>152</v>
      </c>
      <c r="D60" s="23" t="s">
        <v>0</v>
      </c>
      <c r="E60" s="23" t="s">
        <v>1</v>
      </c>
      <c r="F60" s="23" t="s">
        <v>106</v>
      </c>
      <c r="G60" s="24"/>
      <c r="H60" s="11"/>
    </row>
    <row r="61" ht="14.25" customHeight="1">
      <c r="A61" s="21" t="s">
        <v>153</v>
      </c>
      <c r="B61" s="22" t="s">
        <v>6</v>
      </c>
      <c r="C61" s="23" t="s">
        <v>154</v>
      </c>
      <c r="D61" s="23" t="s">
        <v>0</v>
      </c>
      <c r="E61" s="23" t="s">
        <v>1</v>
      </c>
      <c r="F61" s="26" t="s">
        <v>155</v>
      </c>
      <c r="G61" s="24"/>
      <c r="H61" s="11"/>
    </row>
    <row r="62" ht="14.25" customHeight="1">
      <c r="A62" s="21" t="s">
        <v>156</v>
      </c>
      <c r="B62" s="22" t="s">
        <v>6</v>
      </c>
      <c r="C62" s="23" t="s">
        <v>157</v>
      </c>
      <c r="D62" s="23" t="s">
        <v>0</v>
      </c>
      <c r="E62" s="23" t="s">
        <v>1</v>
      </c>
      <c r="F62" s="26" t="s">
        <v>158</v>
      </c>
      <c r="G62" s="31"/>
      <c r="H62" s="11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</row>
    <row r="63" ht="14.25" customHeight="1">
      <c r="A63" s="21" t="s">
        <v>27</v>
      </c>
      <c r="B63" s="27" t="s">
        <v>14</v>
      </c>
      <c r="C63" s="23" t="s">
        <v>159</v>
      </c>
      <c r="D63" s="26" t="s">
        <v>14</v>
      </c>
      <c r="E63" s="26" t="s">
        <v>14</v>
      </c>
      <c r="F63" s="23"/>
      <c r="G63" s="28"/>
      <c r="H63" s="11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</row>
    <row r="64" ht="14.25" customHeight="1">
      <c r="A64" s="21" t="s">
        <v>27</v>
      </c>
      <c r="B64" s="27" t="s">
        <v>14</v>
      </c>
      <c r="C64" s="23" t="s">
        <v>160</v>
      </c>
      <c r="D64" s="26" t="s">
        <v>14</v>
      </c>
      <c r="E64" s="26" t="s">
        <v>14</v>
      </c>
      <c r="F64" s="23"/>
      <c r="G64" s="28"/>
      <c r="H64" s="11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</row>
    <row r="65" ht="14.25" customHeight="1">
      <c r="A65" s="21" t="s">
        <v>27</v>
      </c>
      <c r="B65" s="27" t="s">
        <v>14</v>
      </c>
      <c r="C65" s="23" t="s">
        <v>161</v>
      </c>
      <c r="D65" s="26" t="s">
        <v>14</v>
      </c>
      <c r="E65" s="26" t="s">
        <v>14</v>
      </c>
      <c r="F65" s="23"/>
      <c r="G65" s="28"/>
      <c r="H65" s="11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</row>
    <row r="66" ht="14.25" customHeight="1">
      <c r="A66" s="21" t="s">
        <v>27</v>
      </c>
      <c r="B66" s="27" t="s">
        <v>14</v>
      </c>
      <c r="C66" s="23" t="s">
        <v>162</v>
      </c>
      <c r="D66" s="26" t="s">
        <v>14</v>
      </c>
      <c r="E66" s="26" t="s">
        <v>14</v>
      </c>
      <c r="F66" s="23"/>
      <c r="G66" s="28"/>
      <c r="H66" s="11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</row>
    <row r="67" ht="14.25" customHeight="1">
      <c r="A67" s="21" t="s">
        <v>27</v>
      </c>
      <c r="B67" s="27" t="s">
        <v>14</v>
      </c>
      <c r="C67" s="23" t="s">
        <v>163</v>
      </c>
      <c r="D67" s="26" t="s">
        <v>14</v>
      </c>
      <c r="E67" s="26" t="s">
        <v>14</v>
      </c>
      <c r="F67" s="23"/>
      <c r="G67" s="28"/>
      <c r="H67" s="11"/>
      <c r="I67" s="33" t="s">
        <v>132</v>
      </c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</row>
    <row r="68" ht="14.25" customHeight="1">
      <c r="A68" s="21" t="s">
        <v>164</v>
      </c>
      <c r="B68" s="22" t="s">
        <v>6</v>
      </c>
      <c r="C68" s="23" t="s">
        <v>165</v>
      </c>
      <c r="D68" s="23" t="s">
        <v>0</v>
      </c>
      <c r="E68" s="23" t="s">
        <v>1</v>
      </c>
      <c r="F68" s="26" t="s">
        <v>166</v>
      </c>
      <c r="G68" s="24"/>
      <c r="H68" s="11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</row>
    <row r="69" ht="14.25" customHeight="1">
      <c r="A69" s="21" t="s">
        <v>167</v>
      </c>
      <c r="B69" s="22" t="s">
        <v>6</v>
      </c>
      <c r="C69" s="23" t="s">
        <v>168</v>
      </c>
      <c r="D69" s="23" t="s">
        <v>0</v>
      </c>
      <c r="E69" s="23" t="s">
        <v>1</v>
      </c>
      <c r="F69" s="26" t="s">
        <v>169</v>
      </c>
      <c r="G69" s="32"/>
      <c r="H69" s="11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</row>
    <row r="70" ht="14.25" customHeight="1">
      <c r="A70" s="21" t="s">
        <v>170</v>
      </c>
      <c r="B70" s="22" t="s">
        <v>6</v>
      </c>
      <c r="C70" s="23" t="s">
        <v>171</v>
      </c>
      <c r="D70" s="23" t="s">
        <v>0</v>
      </c>
      <c r="E70" s="23" t="s">
        <v>1</v>
      </c>
      <c r="F70" s="26" t="s">
        <v>172</v>
      </c>
      <c r="G70" s="24"/>
      <c r="H70" s="11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</row>
    <row r="71" ht="14.25" customHeight="1">
      <c r="A71" s="21" t="s">
        <v>173</v>
      </c>
      <c r="B71" s="22" t="s">
        <v>6</v>
      </c>
      <c r="C71" s="23" t="s">
        <v>174</v>
      </c>
      <c r="D71" s="23" t="s">
        <v>0</v>
      </c>
      <c r="E71" s="23" t="s">
        <v>1</v>
      </c>
      <c r="F71" s="26" t="s">
        <v>175</v>
      </c>
      <c r="G71" s="39"/>
      <c r="H71" s="11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</row>
    <row r="72" ht="14.25" customHeight="1">
      <c r="A72" s="18" t="s">
        <v>176</v>
      </c>
      <c r="B72" s="19"/>
      <c r="C72" s="19" t="s">
        <v>177</v>
      </c>
      <c r="D72" s="19"/>
      <c r="E72" s="19"/>
      <c r="F72" s="19" t="s">
        <v>17</v>
      </c>
      <c r="G72" s="20"/>
      <c r="H72" s="11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ht="14.25" customHeight="1">
      <c r="A73" s="21" t="s">
        <v>178</v>
      </c>
      <c r="B73" s="22" t="s">
        <v>6</v>
      </c>
      <c r="C73" s="23" t="s">
        <v>179</v>
      </c>
      <c r="D73" s="23" t="s">
        <v>0</v>
      </c>
      <c r="E73" s="23" t="s">
        <v>1</v>
      </c>
      <c r="F73" s="23" t="s">
        <v>106</v>
      </c>
      <c r="G73" s="24"/>
      <c r="H73" s="11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ht="14.25" customHeight="1">
      <c r="A74" s="21" t="s">
        <v>180</v>
      </c>
      <c r="B74" s="22" t="s">
        <v>6</v>
      </c>
      <c r="C74" s="23" t="s">
        <v>181</v>
      </c>
      <c r="D74" s="23" t="s">
        <v>0</v>
      </c>
      <c r="E74" s="23" t="s">
        <v>1</v>
      </c>
      <c r="F74" s="23" t="s">
        <v>109</v>
      </c>
      <c r="G74" s="24"/>
      <c r="H74" s="11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ht="14.25" customHeight="1">
      <c r="A75" s="21" t="s">
        <v>182</v>
      </c>
      <c r="B75" s="22" t="s">
        <v>6</v>
      </c>
      <c r="C75" s="23" t="s">
        <v>183</v>
      </c>
      <c r="D75" s="23" t="s">
        <v>0</v>
      </c>
      <c r="E75" s="23" t="s">
        <v>1</v>
      </c>
      <c r="F75" s="23" t="s">
        <v>106</v>
      </c>
      <c r="G75" s="24"/>
      <c r="H75" s="11"/>
    </row>
    <row r="76" ht="14.25" customHeight="1">
      <c r="A76" s="21" t="s">
        <v>184</v>
      </c>
      <c r="B76" s="22" t="s">
        <v>6</v>
      </c>
      <c r="C76" s="23" t="s">
        <v>185</v>
      </c>
      <c r="D76" s="23" t="s">
        <v>0</v>
      </c>
      <c r="E76" s="23" t="s">
        <v>1</v>
      </c>
      <c r="F76" s="23" t="s">
        <v>109</v>
      </c>
      <c r="G76" s="24"/>
      <c r="H76" s="11"/>
    </row>
    <row r="77" ht="14.25" customHeight="1">
      <c r="A77" s="21" t="s">
        <v>186</v>
      </c>
      <c r="B77" s="22" t="s">
        <v>6</v>
      </c>
      <c r="C77" s="23" t="s">
        <v>187</v>
      </c>
      <c r="D77" s="23" t="s">
        <v>0</v>
      </c>
      <c r="E77" s="23" t="s">
        <v>1</v>
      </c>
      <c r="F77" s="23" t="s">
        <v>124</v>
      </c>
      <c r="G77" s="24"/>
      <c r="H77" s="11"/>
    </row>
    <row r="78" ht="14.25" customHeight="1">
      <c r="A78" s="21" t="s">
        <v>188</v>
      </c>
      <c r="B78" s="22" t="s">
        <v>6</v>
      </c>
      <c r="C78" s="23" t="s">
        <v>189</v>
      </c>
      <c r="D78" s="23" t="s">
        <v>0</v>
      </c>
      <c r="E78" s="23" t="s">
        <v>1</v>
      </c>
      <c r="F78" s="23" t="s">
        <v>127</v>
      </c>
      <c r="G78" s="24"/>
      <c r="H78" s="11"/>
    </row>
    <row r="79" ht="14.25" customHeight="1">
      <c r="A79" s="21" t="s">
        <v>190</v>
      </c>
      <c r="B79" s="22" t="s">
        <v>6</v>
      </c>
      <c r="C79" s="23" t="s">
        <v>191</v>
      </c>
      <c r="D79" s="23" t="s">
        <v>0</v>
      </c>
      <c r="E79" s="23" t="s">
        <v>1</v>
      </c>
      <c r="F79" s="23" t="s">
        <v>106</v>
      </c>
      <c r="G79" s="31"/>
      <c r="H79" s="11"/>
    </row>
    <row r="80" ht="14.25" customHeight="1">
      <c r="A80" s="21" t="s">
        <v>192</v>
      </c>
      <c r="B80" s="22" t="s">
        <v>6</v>
      </c>
      <c r="C80" s="23" t="s">
        <v>193</v>
      </c>
      <c r="D80" s="23" t="s">
        <v>0</v>
      </c>
      <c r="E80" s="23" t="s">
        <v>1</v>
      </c>
      <c r="F80" s="23" t="s">
        <v>109</v>
      </c>
      <c r="G80" s="24"/>
      <c r="H80" s="11"/>
    </row>
    <row r="81" ht="14.25" customHeight="1">
      <c r="A81" s="21" t="s">
        <v>194</v>
      </c>
      <c r="B81" s="22" t="s">
        <v>6</v>
      </c>
      <c r="C81" s="23" t="s">
        <v>195</v>
      </c>
      <c r="D81" s="23" t="s">
        <v>0</v>
      </c>
      <c r="E81" s="23" t="s">
        <v>1</v>
      </c>
      <c r="F81" s="23" t="s">
        <v>106</v>
      </c>
      <c r="G81" s="24"/>
      <c r="H81" s="11"/>
    </row>
    <row r="82" ht="14.25" customHeight="1">
      <c r="A82" s="21" t="s">
        <v>196</v>
      </c>
      <c r="B82" s="22" t="s">
        <v>6</v>
      </c>
      <c r="C82" s="23" t="s">
        <v>197</v>
      </c>
      <c r="D82" s="23" t="s">
        <v>0</v>
      </c>
      <c r="E82" s="23" t="s">
        <v>1</v>
      </c>
      <c r="F82" s="23" t="s">
        <v>109</v>
      </c>
      <c r="G82" s="32"/>
      <c r="H82" s="11"/>
    </row>
    <row r="83" ht="14.25" customHeight="1">
      <c r="A83" s="21" t="s">
        <v>198</v>
      </c>
      <c r="B83" s="22" t="s">
        <v>6</v>
      </c>
      <c r="C83" s="23" t="s">
        <v>199</v>
      </c>
      <c r="D83" s="23" t="s">
        <v>0</v>
      </c>
      <c r="E83" s="23" t="s">
        <v>1</v>
      </c>
      <c r="F83" s="26" t="s">
        <v>166</v>
      </c>
      <c r="G83" s="24"/>
      <c r="H83" s="11"/>
    </row>
    <row r="84" ht="14.25" customHeight="1">
      <c r="A84" s="21" t="s">
        <v>200</v>
      </c>
      <c r="B84" s="22" t="s">
        <v>6</v>
      </c>
      <c r="C84" s="23" t="s">
        <v>201</v>
      </c>
      <c r="D84" s="23" t="s">
        <v>0</v>
      </c>
      <c r="E84" s="23" t="s">
        <v>1</v>
      </c>
      <c r="F84" s="26" t="s">
        <v>169</v>
      </c>
      <c r="G84" s="24"/>
      <c r="H84" s="11"/>
    </row>
    <row r="85" ht="14.25" customHeight="1">
      <c r="A85" s="21" t="s">
        <v>27</v>
      </c>
      <c r="B85" s="22"/>
      <c r="C85" s="23" t="s">
        <v>202</v>
      </c>
      <c r="D85" s="23"/>
      <c r="E85" s="23"/>
      <c r="F85" s="23"/>
      <c r="G85" s="28"/>
      <c r="H85" s="11"/>
    </row>
    <row r="86" ht="14.25" customHeight="1">
      <c r="A86" s="21" t="s">
        <v>203</v>
      </c>
      <c r="B86" s="22" t="s">
        <v>6</v>
      </c>
      <c r="C86" s="23" t="s">
        <v>204</v>
      </c>
      <c r="D86" s="23" t="s">
        <v>0</v>
      </c>
      <c r="E86" s="23" t="s">
        <v>1</v>
      </c>
      <c r="F86" s="26" t="s">
        <v>175</v>
      </c>
      <c r="G86" s="32"/>
      <c r="H86" s="11"/>
    </row>
    <row r="87" ht="14.25" customHeight="1">
      <c r="A87" s="21" t="s">
        <v>205</v>
      </c>
      <c r="B87" s="22" t="s">
        <v>6</v>
      </c>
      <c r="C87" s="23" t="s">
        <v>206</v>
      </c>
      <c r="D87" s="23" t="s">
        <v>0</v>
      </c>
      <c r="E87" s="23" t="s">
        <v>1</v>
      </c>
      <c r="F87" s="26" t="s">
        <v>207</v>
      </c>
      <c r="G87" s="32"/>
      <c r="H87" s="11"/>
    </row>
    <row r="88" ht="14.25" customHeight="1">
      <c r="A88" s="21" t="s">
        <v>208</v>
      </c>
      <c r="B88" s="22" t="s">
        <v>6</v>
      </c>
      <c r="C88" s="23" t="s">
        <v>209</v>
      </c>
      <c r="D88" s="23" t="s">
        <v>0</v>
      </c>
      <c r="E88" s="23" t="s">
        <v>1</v>
      </c>
      <c r="F88" s="26" t="s">
        <v>207</v>
      </c>
      <c r="G88" s="32"/>
      <c r="H88" s="11"/>
    </row>
    <row r="89" ht="14.25" customHeight="1">
      <c r="A89" s="18" t="s">
        <v>210</v>
      </c>
      <c r="B89" s="19"/>
      <c r="C89" s="19" t="s">
        <v>211</v>
      </c>
      <c r="D89" s="19"/>
      <c r="E89" s="19"/>
      <c r="F89" s="19" t="s">
        <v>17</v>
      </c>
      <c r="G89" s="20"/>
      <c r="H89" s="11"/>
    </row>
    <row r="90" ht="14.25" customHeight="1">
      <c r="A90" s="21" t="s">
        <v>212</v>
      </c>
      <c r="B90" s="22" t="s">
        <v>6</v>
      </c>
      <c r="C90" s="23" t="s">
        <v>213</v>
      </c>
      <c r="D90" s="23" t="s">
        <v>0</v>
      </c>
      <c r="E90" s="23" t="s">
        <v>1</v>
      </c>
      <c r="F90" s="26" t="s">
        <v>214</v>
      </c>
      <c r="G90" s="24"/>
      <c r="H90" s="11"/>
    </row>
    <row r="91" ht="14.25" customHeight="1">
      <c r="A91" s="21" t="s">
        <v>215</v>
      </c>
      <c r="B91" s="22" t="s">
        <v>6</v>
      </c>
      <c r="C91" s="23" t="s">
        <v>216</v>
      </c>
      <c r="D91" s="23" t="s">
        <v>0</v>
      </c>
      <c r="E91" s="23" t="s">
        <v>1</v>
      </c>
      <c r="F91" s="23" t="s">
        <v>217</v>
      </c>
      <c r="G91" s="24"/>
      <c r="H91" s="11"/>
    </row>
    <row r="92" ht="14.25" customHeight="1">
      <c r="A92" s="21" t="s">
        <v>218</v>
      </c>
      <c r="B92" s="22" t="s">
        <v>6</v>
      </c>
      <c r="C92" s="23" t="s">
        <v>219</v>
      </c>
      <c r="D92" s="23" t="s">
        <v>0</v>
      </c>
      <c r="E92" s="23" t="s">
        <v>1</v>
      </c>
      <c r="F92" s="23" t="s">
        <v>220</v>
      </c>
      <c r="G92" s="24"/>
      <c r="H92" s="11"/>
    </row>
    <row r="93" ht="14.25" customHeight="1">
      <c r="A93" s="21" t="s">
        <v>221</v>
      </c>
      <c r="B93" s="22" t="s">
        <v>6</v>
      </c>
      <c r="C93" s="23" t="s">
        <v>222</v>
      </c>
      <c r="D93" s="23" t="s">
        <v>0</v>
      </c>
      <c r="E93" s="23" t="s">
        <v>1</v>
      </c>
      <c r="F93" s="23" t="s">
        <v>223</v>
      </c>
      <c r="G93" s="24"/>
      <c r="H93" s="11"/>
    </row>
    <row r="94" ht="14.25" customHeight="1">
      <c r="A94" s="21" t="s">
        <v>224</v>
      </c>
      <c r="B94" s="22" t="s">
        <v>6</v>
      </c>
      <c r="C94" s="23" t="s">
        <v>225</v>
      </c>
      <c r="D94" s="23" t="s">
        <v>0</v>
      </c>
      <c r="E94" s="23" t="s">
        <v>1</v>
      </c>
      <c r="F94" s="23" t="s">
        <v>220</v>
      </c>
      <c r="G94" s="24"/>
      <c r="H94" s="11"/>
    </row>
    <row r="95" ht="14.25" customHeight="1">
      <c r="A95" s="21" t="s">
        <v>27</v>
      </c>
      <c r="B95" s="22" t="s">
        <v>14</v>
      </c>
      <c r="C95" s="23" t="s">
        <v>226</v>
      </c>
      <c r="D95" s="23" t="s">
        <v>14</v>
      </c>
      <c r="E95" s="23" t="s">
        <v>14</v>
      </c>
      <c r="F95" s="23"/>
      <c r="G95" s="28"/>
      <c r="H95" s="11"/>
    </row>
    <row r="96" ht="14.25" customHeight="1">
      <c r="A96" s="21" t="s">
        <v>27</v>
      </c>
      <c r="B96" s="22" t="s">
        <v>14</v>
      </c>
      <c r="C96" s="23" t="s">
        <v>227</v>
      </c>
      <c r="D96" s="23" t="s">
        <v>14</v>
      </c>
      <c r="E96" s="23" t="s">
        <v>14</v>
      </c>
      <c r="F96" s="23"/>
      <c r="G96" s="28"/>
      <c r="H96" s="11"/>
    </row>
    <row r="97" ht="14.25" customHeight="1">
      <c r="A97" s="21" t="s">
        <v>27</v>
      </c>
      <c r="B97" s="22" t="s">
        <v>14</v>
      </c>
      <c r="C97" s="23" t="s">
        <v>228</v>
      </c>
      <c r="D97" s="23" t="s">
        <v>14</v>
      </c>
      <c r="E97" s="23" t="s">
        <v>14</v>
      </c>
      <c r="F97" s="23"/>
      <c r="G97" s="28"/>
      <c r="H97" s="11"/>
    </row>
    <row r="98" ht="14.25" customHeight="1">
      <c r="A98" s="21" t="s">
        <v>27</v>
      </c>
      <c r="B98" s="22" t="s">
        <v>14</v>
      </c>
      <c r="C98" s="23" t="s">
        <v>229</v>
      </c>
      <c r="D98" s="23" t="s">
        <v>14</v>
      </c>
      <c r="E98" s="23" t="s">
        <v>14</v>
      </c>
      <c r="F98" s="23"/>
      <c r="G98" s="28"/>
      <c r="H98" s="11"/>
    </row>
    <row r="99" ht="14.25" customHeight="1">
      <c r="A99" s="21" t="s">
        <v>27</v>
      </c>
      <c r="B99" s="22" t="s">
        <v>14</v>
      </c>
      <c r="C99" s="23" t="s">
        <v>230</v>
      </c>
      <c r="D99" s="23" t="s">
        <v>14</v>
      </c>
      <c r="E99" s="23" t="s">
        <v>14</v>
      </c>
      <c r="F99" s="23"/>
      <c r="G99" s="28"/>
      <c r="H99" s="11"/>
    </row>
    <row r="100" ht="14.25" customHeight="1">
      <c r="A100" s="21" t="s">
        <v>27</v>
      </c>
      <c r="B100" s="22" t="s">
        <v>14</v>
      </c>
      <c r="C100" s="23" t="s">
        <v>231</v>
      </c>
      <c r="D100" s="23" t="s">
        <v>14</v>
      </c>
      <c r="E100" s="23" t="s">
        <v>14</v>
      </c>
      <c r="F100" s="23"/>
      <c r="G100" s="28"/>
      <c r="H100" s="11"/>
    </row>
    <row r="101" ht="14.25" customHeight="1">
      <c r="A101" s="21" t="s">
        <v>27</v>
      </c>
      <c r="B101" s="22" t="s">
        <v>14</v>
      </c>
      <c r="C101" s="23" t="s">
        <v>232</v>
      </c>
      <c r="D101" s="23" t="s">
        <v>14</v>
      </c>
      <c r="E101" s="23" t="s">
        <v>14</v>
      </c>
      <c r="F101" s="23"/>
      <c r="G101" s="28"/>
      <c r="H101" s="11"/>
    </row>
    <row r="102" ht="14.25" customHeight="1">
      <c r="A102" s="21" t="s">
        <v>27</v>
      </c>
      <c r="B102" s="22" t="s">
        <v>14</v>
      </c>
      <c r="C102" s="23" t="s">
        <v>233</v>
      </c>
      <c r="D102" s="23" t="s">
        <v>14</v>
      </c>
      <c r="E102" s="23" t="s">
        <v>14</v>
      </c>
      <c r="F102" s="23"/>
      <c r="G102" s="28"/>
      <c r="H102" s="11"/>
    </row>
    <row r="103" ht="14.25" customHeight="1">
      <c r="A103" s="21" t="s">
        <v>27</v>
      </c>
      <c r="B103" s="22" t="s">
        <v>14</v>
      </c>
      <c r="C103" s="23" t="s">
        <v>234</v>
      </c>
      <c r="D103" s="23" t="s">
        <v>14</v>
      </c>
      <c r="E103" s="23" t="s">
        <v>14</v>
      </c>
      <c r="F103" s="23"/>
      <c r="G103" s="28"/>
      <c r="H103" s="11"/>
    </row>
    <row r="104" ht="14.25" customHeight="1">
      <c r="A104" s="21" t="s">
        <v>27</v>
      </c>
      <c r="B104" s="22" t="s">
        <v>14</v>
      </c>
      <c r="C104" s="23" t="s">
        <v>235</v>
      </c>
      <c r="D104" s="23" t="s">
        <v>14</v>
      </c>
      <c r="E104" s="23" t="s">
        <v>14</v>
      </c>
      <c r="F104" s="23"/>
      <c r="G104" s="28"/>
      <c r="H104" s="11"/>
    </row>
    <row r="105" ht="14.25" customHeight="1">
      <c r="A105" s="21" t="s">
        <v>27</v>
      </c>
      <c r="B105" s="22" t="s">
        <v>14</v>
      </c>
      <c r="C105" s="23" t="s">
        <v>236</v>
      </c>
      <c r="D105" s="23" t="s">
        <v>14</v>
      </c>
      <c r="E105" s="23" t="s">
        <v>14</v>
      </c>
      <c r="F105" s="23"/>
      <c r="G105" s="40"/>
      <c r="H105" s="11"/>
    </row>
    <row r="106" ht="14.25" customHeight="1">
      <c r="A106" s="18" t="s">
        <v>237</v>
      </c>
      <c r="B106" s="19"/>
      <c r="C106" s="19" t="s">
        <v>238</v>
      </c>
      <c r="D106" s="19"/>
      <c r="E106" s="19"/>
      <c r="F106" s="19" t="s">
        <v>17</v>
      </c>
      <c r="G106" s="20"/>
      <c r="H106" s="11"/>
    </row>
    <row r="107" ht="14.25" customHeight="1">
      <c r="A107" s="21" t="s">
        <v>27</v>
      </c>
      <c r="B107" s="22" t="s">
        <v>14</v>
      </c>
      <c r="C107" s="23" t="s">
        <v>239</v>
      </c>
      <c r="D107" s="23" t="s">
        <v>14</v>
      </c>
      <c r="E107" s="23" t="s">
        <v>14</v>
      </c>
      <c r="F107" s="23"/>
      <c r="G107" s="28"/>
      <c r="H107" s="11"/>
    </row>
    <row r="108" ht="14.25" customHeight="1">
      <c r="A108" s="21" t="s">
        <v>27</v>
      </c>
      <c r="B108" s="22" t="s">
        <v>14</v>
      </c>
      <c r="C108" s="23" t="s">
        <v>240</v>
      </c>
      <c r="D108" s="23" t="s">
        <v>14</v>
      </c>
      <c r="E108" s="23" t="s">
        <v>14</v>
      </c>
      <c r="F108" s="23"/>
      <c r="G108" s="28"/>
      <c r="H108" s="11"/>
      <c r="L108" s="33" t="s">
        <v>241</v>
      </c>
    </row>
    <row r="109" ht="14.25" customHeight="1">
      <c r="A109" s="21" t="s">
        <v>27</v>
      </c>
      <c r="B109" s="22" t="s">
        <v>14</v>
      </c>
      <c r="C109" s="23" t="s">
        <v>242</v>
      </c>
      <c r="D109" s="23" t="s">
        <v>14</v>
      </c>
      <c r="E109" s="23" t="s">
        <v>14</v>
      </c>
      <c r="F109" s="23"/>
      <c r="G109" s="28"/>
      <c r="H109" s="11"/>
      <c r="L109" s="33" t="s">
        <v>243</v>
      </c>
    </row>
    <row r="110" ht="14.25" customHeight="1">
      <c r="A110" s="21" t="s">
        <v>27</v>
      </c>
      <c r="B110" s="22" t="s">
        <v>14</v>
      </c>
      <c r="C110" s="23" t="s">
        <v>244</v>
      </c>
      <c r="D110" s="23" t="s">
        <v>14</v>
      </c>
      <c r="E110" s="23" t="s">
        <v>14</v>
      </c>
      <c r="F110" s="23"/>
      <c r="G110" s="28"/>
      <c r="H110" s="11"/>
      <c r="L110" s="33" t="s">
        <v>245</v>
      </c>
    </row>
    <row r="111" ht="14.25" customHeight="1">
      <c r="A111" s="21" t="s">
        <v>27</v>
      </c>
      <c r="B111" s="22" t="s">
        <v>14</v>
      </c>
      <c r="C111" s="23" t="s">
        <v>246</v>
      </c>
      <c r="D111" s="23" t="s">
        <v>14</v>
      </c>
      <c r="E111" s="23" t="s">
        <v>14</v>
      </c>
      <c r="F111" s="23"/>
      <c r="G111" s="28"/>
      <c r="H111" s="11"/>
      <c r="L111" s="33" t="s">
        <v>247</v>
      </c>
    </row>
    <row r="112" ht="14.25" customHeight="1">
      <c r="A112" s="21" t="s">
        <v>27</v>
      </c>
      <c r="B112" s="22" t="s">
        <v>14</v>
      </c>
      <c r="C112" s="23" t="s">
        <v>248</v>
      </c>
      <c r="D112" s="23" t="s">
        <v>14</v>
      </c>
      <c r="E112" s="23" t="s">
        <v>14</v>
      </c>
      <c r="F112" s="23"/>
      <c r="G112" s="28"/>
      <c r="H112" s="11"/>
      <c r="L112" s="33" t="s">
        <v>249</v>
      </c>
    </row>
    <row r="113" ht="14.25" customHeight="1">
      <c r="A113" s="21" t="s">
        <v>27</v>
      </c>
      <c r="B113" s="22" t="s">
        <v>14</v>
      </c>
      <c r="C113" s="23" t="s">
        <v>250</v>
      </c>
      <c r="D113" s="23" t="s">
        <v>14</v>
      </c>
      <c r="E113" s="23" t="s">
        <v>14</v>
      </c>
      <c r="F113" s="23"/>
      <c r="G113" s="28"/>
      <c r="H113" s="11"/>
      <c r="L113" s="33" t="s">
        <v>251</v>
      </c>
    </row>
    <row r="114" ht="14.25" customHeight="1">
      <c r="A114" s="21" t="s">
        <v>27</v>
      </c>
      <c r="B114" s="22" t="s">
        <v>14</v>
      </c>
      <c r="C114" s="23" t="s">
        <v>252</v>
      </c>
      <c r="D114" s="23" t="s">
        <v>14</v>
      </c>
      <c r="E114" s="23" t="s">
        <v>14</v>
      </c>
      <c r="F114" s="23"/>
      <c r="G114" s="28"/>
      <c r="H114" s="11"/>
      <c r="L114" s="33" t="s">
        <v>253</v>
      </c>
    </row>
    <row r="115" ht="14.25" customHeight="1">
      <c r="A115" s="21" t="s">
        <v>27</v>
      </c>
      <c r="B115" s="22" t="s">
        <v>14</v>
      </c>
      <c r="C115" s="23" t="s">
        <v>254</v>
      </c>
      <c r="D115" s="23" t="s">
        <v>14</v>
      </c>
      <c r="E115" s="23" t="s">
        <v>14</v>
      </c>
      <c r="F115" s="23"/>
      <c r="G115" s="28"/>
      <c r="H115" s="11"/>
      <c r="L115" s="33" t="s">
        <v>255</v>
      </c>
    </row>
    <row r="116" ht="14.25" customHeight="1">
      <c r="A116" s="21" t="s">
        <v>27</v>
      </c>
      <c r="B116" s="22" t="s">
        <v>14</v>
      </c>
      <c r="C116" s="23" t="s">
        <v>256</v>
      </c>
      <c r="D116" s="23" t="s">
        <v>14</v>
      </c>
      <c r="E116" s="23" t="s">
        <v>14</v>
      </c>
      <c r="F116" s="23"/>
      <c r="G116" s="28"/>
      <c r="H116" s="11"/>
    </row>
    <row r="117" ht="14.25" customHeight="1">
      <c r="A117" s="21" t="s">
        <v>27</v>
      </c>
      <c r="B117" s="22" t="s">
        <v>14</v>
      </c>
      <c r="C117" s="23" t="s">
        <v>257</v>
      </c>
      <c r="D117" s="23" t="s">
        <v>14</v>
      </c>
      <c r="E117" s="23" t="s">
        <v>14</v>
      </c>
      <c r="F117" s="23"/>
      <c r="G117" s="28"/>
      <c r="H117" s="11"/>
    </row>
    <row r="118" ht="14.25" customHeight="1">
      <c r="A118" s="21" t="s">
        <v>27</v>
      </c>
      <c r="B118" s="22" t="s">
        <v>14</v>
      </c>
      <c r="C118" s="23" t="s">
        <v>258</v>
      </c>
      <c r="D118" s="23" t="s">
        <v>14</v>
      </c>
      <c r="E118" s="23" t="s">
        <v>14</v>
      </c>
      <c r="F118" s="23"/>
      <c r="G118" s="28"/>
      <c r="H118" s="11"/>
    </row>
    <row r="119" ht="14.25" customHeight="1">
      <c r="A119" s="21" t="s">
        <v>27</v>
      </c>
      <c r="B119" s="22" t="s">
        <v>14</v>
      </c>
      <c r="C119" s="23" t="s">
        <v>259</v>
      </c>
      <c r="D119" s="23" t="s">
        <v>14</v>
      </c>
      <c r="E119" s="23" t="s">
        <v>14</v>
      </c>
      <c r="F119" s="23"/>
      <c r="G119" s="28"/>
      <c r="H119" s="11"/>
    </row>
    <row r="120" ht="14.25" customHeight="1">
      <c r="A120" s="21" t="s">
        <v>27</v>
      </c>
      <c r="B120" s="22" t="s">
        <v>14</v>
      </c>
      <c r="C120" s="23" t="s">
        <v>260</v>
      </c>
      <c r="D120" s="23" t="s">
        <v>14</v>
      </c>
      <c r="E120" s="23" t="s">
        <v>14</v>
      </c>
      <c r="F120" s="23"/>
      <c r="G120" s="28"/>
      <c r="H120" s="11"/>
    </row>
    <row r="121" ht="14.25" customHeight="1">
      <c r="A121" s="21" t="s">
        <v>27</v>
      </c>
      <c r="B121" s="22" t="s">
        <v>14</v>
      </c>
      <c r="C121" s="23" t="s">
        <v>261</v>
      </c>
      <c r="D121" s="23" t="s">
        <v>14</v>
      </c>
      <c r="E121" s="23" t="s">
        <v>14</v>
      </c>
      <c r="F121" s="23"/>
      <c r="G121" s="28"/>
      <c r="H121" s="11"/>
    </row>
    <row r="122" ht="14.25" customHeight="1">
      <c r="A122" s="21" t="s">
        <v>27</v>
      </c>
      <c r="B122" s="22" t="s">
        <v>14</v>
      </c>
      <c r="C122" s="23" t="s">
        <v>262</v>
      </c>
      <c r="D122" s="23" t="s">
        <v>14</v>
      </c>
      <c r="E122" s="23" t="s">
        <v>14</v>
      </c>
      <c r="F122" s="23"/>
      <c r="G122" s="40"/>
      <c r="H122" s="11"/>
    </row>
    <row r="123" ht="14.25" customHeight="1">
      <c r="A123" s="18" t="s">
        <v>210</v>
      </c>
      <c r="B123" s="19"/>
      <c r="C123" s="19" t="s">
        <v>263</v>
      </c>
      <c r="D123" s="19"/>
      <c r="E123" s="19"/>
      <c r="F123" s="41" t="s">
        <v>264</v>
      </c>
      <c r="G123" s="42"/>
      <c r="H123" s="11"/>
    </row>
    <row r="124" ht="14.25" customHeight="1">
      <c r="A124" s="43" t="s">
        <v>265</v>
      </c>
      <c r="B124" s="44" t="s">
        <v>6</v>
      </c>
      <c r="C124" s="45" t="s">
        <v>266</v>
      </c>
      <c r="D124" s="45" t="s">
        <v>0</v>
      </c>
      <c r="E124" s="45" t="s">
        <v>5</v>
      </c>
      <c r="F124" s="46" t="s">
        <v>267</v>
      </c>
      <c r="G124" s="24"/>
      <c r="H124" s="11"/>
    </row>
    <row r="125" ht="14.25" customHeight="1">
      <c r="A125" s="43" t="s">
        <v>268</v>
      </c>
      <c r="B125" s="44" t="s">
        <v>6</v>
      </c>
      <c r="C125" s="45" t="s">
        <v>269</v>
      </c>
      <c r="D125" s="45" t="s">
        <v>0</v>
      </c>
      <c r="E125" s="45" t="s">
        <v>5</v>
      </c>
      <c r="F125" s="46" t="s">
        <v>270</v>
      </c>
      <c r="G125" s="24"/>
      <c r="H125" s="11"/>
    </row>
    <row r="126" ht="14.25" customHeight="1">
      <c r="A126" s="43" t="s">
        <v>271</v>
      </c>
      <c r="B126" s="44" t="s">
        <v>6</v>
      </c>
      <c r="C126" s="45" t="s">
        <v>272</v>
      </c>
      <c r="D126" s="45" t="s">
        <v>0</v>
      </c>
      <c r="E126" s="45" t="s">
        <v>5</v>
      </c>
      <c r="F126" s="46" t="s">
        <v>267</v>
      </c>
      <c r="G126" s="24"/>
      <c r="H126" s="11"/>
    </row>
    <row r="127" ht="14.25" customHeight="1">
      <c r="A127" s="43" t="s">
        <v>273</v>
      </c>
      <c r="B127" s="44" t="s">
        <v>6</v>
      </c>
      <c r="C127" s="45" t="s">
        <v>274</v>
      </c>
      <c r="D127" s="45" t="s">
        <v>0</v>
      </c>
      <c r="E127" s="45" t="s">
        <v>5</v>
      </c>
      <c r="F127" s="46" t="s">
        <v>270</v>
      </c>
      <c r="G127" s="24"/>
      <c r="H127" s="11"/>
    </row>
    <row r="128" ht="14.25" customHeight="1">
      <c r="A128" s="43" t="s">
        <v>275</v>
      </c>
      <c r="B128" s="44" t="s">
        <v>6</v>
      </c>
      <c r="C128" s="45" t="s">
        <v>276</v>
      </c>
      <c r="D128" s="45" t="s">
        <v>0</v>
      </c>
      <c r="E128" s="45" t="s">
        <v>5</v>
      </c>
      <c r="F128" s="46" t="s">
        <v>267</v>
      </c>
      <c r="G128" s="24"/>
      <c r="H128" s="11"/>
    </row>
    <row r="129" ht="14.25" customHeight="1">
      <c r="A129" s="43" t="s">
        <v>277</v>
      </c>
      <c r="B129" s="44" t="s">
        <v>6</v>
      </c>
      <c r="C129" s="45" t="s">
        <v>278</v>
      </c>
      <c r="D129" s="45" t="s">
        <v>0</v>
      </c>
      <c r="E129" s="45" t="s">
        <v>5</v>
      </c>
      <c r="F129" s="46" t="s">
        <v>270</v>
      </c>
      <c r="G129" s="24"/>
      <c r="H129" s="11"/>
    </row>
    <row r="130" ht="14.25" customHeight="1">
      <c r="A130" s="43" t="s">
        <v>279</v>
      </c>
      <c r="B130" s="44" t="s">
        <v>6</v>
      </c>
      <c r="C130" s="45" t="s">
        <v>280</v>
      </c>
      <c r="D130" s="45" t="s">
        <v>0</v>
      </c>
      <c r="E130" s="45" t="s">
        <v>5</v>
      </c>
      <c r="F130" s="46" t="s">
        <v>267</v>
      </c>
      <c r="G130" s="31"/>
      <c r="H130" s="11"/>
    </row>
    <row r="131" ht="14.25" customHeight="1">
      <c r="A131" s="43" t="s">
        <v>281</v>
      </c>
      <c r="B131" s="44" t="s">
        <v>6</v>
      </c>
      <c r="C131" s="45" t="s">
        <v>282</v>
      </c>
      <c r="D131" s="45" t="s">
        <v>0</v>
      </c>
      <c r="E131" s="45" t="s">
        <v>5</v>
      </c>
      <c r="F131" s="46" t="s">
        <v>270</v>
      </c>
      <c r="G131" s="24"/>
      <c r="H131" s="11"/>
    </row>
    <row r="132" ht="14.25" customHeight="1">
      <c r="A132" s="43" t="s">
        <v>283</v>
      </c>
      <c r="B132" s="44" t="s">
        <v>6</v>
      </c>
      <c r="C132" s="45" t="s">
        <v>284</v>
      </c>
      <c r="D132" s="45" t="s">
        <v>0</v>
      </c>
      <c r="E132" s="45" t="s">
        <v>5</v>
      </c>
      <c r="F132" s="46" t="s">
        <v>285</v>
      </c>
      <c r="G132" s="24"/>
      <c r="H132" s="11"/>
    </row>
    <row r="133" ht="14.25" customHeight="1">
      <c r="A133" s="43" t="s">
        <v>286</v>
      </c>
      <c r="B133" s="44" t="s">
        <v>6</v>
      </c>
      <c r="C133" s="45" t="s">
        <v>287</v>
      </c>
      <c r="D133" s="45" t="s">
        <v>0</v>
      </c>
      <c r="E133" s="45" t="s">
        <v>5</v>
      </c>
      <c r="F133" s="46" t="s">
        <v>288</v>
      </c>
      <c r="G133" s="32"/>
      <c r="H133" s="11"/>
    </row>
    <row r="134" ht="14.25" customHeight="1">
      <c r="A134" s="43" t="s">
        <v>289</v>
      </c>
      <c r="B134" s="44" t="s">
        <v>6</v>
      </c>
      <c r="C134" s="45" t="s">
        <v>290</v>
      </c>
      <c r="D134" s="45" t="s">
        <v>0</v>
      </c>
      <c r="E134" s="45" t="s">
        <v>5</v>
      </c>
      <c r="F134" s="46" t="s">
        <v>291</v>
      </c>
      <c r="G134" s="24"/>
      <c r="H134" s="11"/>
    </row>
    <row r="135" ht="14.25" customHeight="1">
      <c r="A135" s="43" t="s">
        <v>292</v>
      </c>
      <c r="B135" s="44" t="s">
        <v>6</v>
      </c>
      <c r="C135" s="45" t="s">
        <v>293</v>
      </c>
      <c r="D135" s="45" t="s">
        <v>0</v>
      </c>
      <c r="E135" s="45" t="s">
        <v>5</v>
      </c>
      <c r="F135" s="46" t="s">
        <v>294</v>
      </c>
      <c r="G135" s="24"/>
      <c r="H135" s="11"/>
    </row>
    <row r="136" ht="14.25" customHeight="1">
      <c r="A136" s="43" t="s">
        <v>295</v>
      </c>
      <c r="B136" s="44" t="s">
        <v>6</v>
      </c>
      <c r="C136" s="45" t="s">
        <v>296</v>
      </c>
      <c r="D136" s="45" t="s">
        <v>0</v>
      </c>
      <c r="E136" s="45" t="s">
        <v>5</v>
      </c>
      <c r="F136" s="46" t="s">
        <v>267</v>
      </c>
      <c r="G136" s="24"/>
      <c r="H136" s="11"/>
    </row>
    <row r="137" ht="14.25" customHeight="1">
      <c r="A137" s="43" t="s">
        <v>297</v>
      </c>
      <c r="B137" s="44" t="s">
        <v>6</v>
      </c>
      <c r="C137" s="45" t="s">
        <v>298</v>
      </c>
      <c r="D137" s="45" t="s">
        <v>0</v>
      </c>
      <c r="E137" s="45" t="s">
        <v>5</v>
      </c>
      <c r="F137" s="46" t="s">
        <v>270</v>
      </c>
      <c r="G137" s="24"/>
      <c r="H137" s="11"/>
    </row>
    <row r="138" ht="14.25" customHeight="1">
      <c r="A138" s="43" t="s">
        <v>299</v>
      </c>
      <c r="B138" s="44" t="s">
        <v>6</v>
      </c>
      <c r="C138" s="45" t="s">
        <v>300</v>
      </c>
      <c r="D138" s="45" t="s">
        <v>0</v>
      </c>
      <c r="E138" s="45" t="s">
        <v>5</v>
      </c>
      <c r="F138" s="46" t="s">
        <v>267</v>
      </c>
      <c r="G138" s="24"/>
      <c r="H138" s="11"/>
    </row>
    <row r="139" ht="14.25" customHeight="1">
      <c r="A139" s="43" t="s">
        <v>301</v>
      </c>
      <c r="B139" s="44" t="s">
        <v>6</v>
      </c>
      <c r="C139" s="45" t="s">
        <v>302</v>
      </c>
      <c r="D139" s="45" t="s">
        <v>0</v>
      </c>
      <c r="E139" s="45" t="s">
        <v>5</v>
      </c>
      <c r="F139" s="46" t="s">
        <v>270</v>
      </c>
      <c r="G139" s="39"/>
      <c r="H139" s="11"/>
    </row>
    <row r="140" ht="14.25" customHeight="1">
      <c r="A140" s="18" t="s">
        <v>237</v>
      </c>
      <c r="B140" s="19"/>
      <c r="C140" s="19" t="s">
        <v>303</v>
      </c>
      <c r="D140" s="19"/>
      <c r="E140" s="19"/>
      <c r="F140" s="19" t="s">
        <v>264</v>
      </c>
      <c r="G140" s="47"/>
      <c r="H140" s="11"/>
    </row>
    <row r="141" ht="14.25" customHeight="1">
      <c r="A141" s="43" t="s">
        <v>304</v>
      </c>
      <c r="B141" s="44" t="s">
        <v>6</v>
      </c>
      <c r="C141" s="45" t="s">
        <v>305</v>
      </c>
      <c r="D141" s="45" t="s">
        <v>0</v>
      </c>
      <c r="E141" s="45" t="s">
        <v>5</v>
      </c>
      <c r="F141" s="46" t="s">
        <v>267</v>
      </c>
      <c r="G141" s="24"/>
      <c r="H141" s="11"/>
    </row>
    <row r="142" ht="14.25" customHeight="1">
      <c r="A142" s="43" t="s">
        <v>306</v>
      </c>
      <c r="B142" s="44" t="s">
        <v>6</v>
      </c>
      <c r="C142" s="45" t="s">
        <v>307</v>
      </c>
      <c r="D142" s="45" t="s">
        <v>0</v>
      </c>
      <c r="E142" s="45" t="s">
        <v>5</v>
      </c>
      <c r="F142" s="46" t="s">
        <v>270</v>
      </c>
      <c r="G142" s="24"/>
      <c r="H142" s="11"/>
    </row>
    <row r="143" ht="14.25" customHeight="1">
      <c r="A143" s="43" t="s">
        <v>308</v>
      </c>
      <c r="B143" s="44" t="s">
        <v>6</v>
      </c>
      <c r="C143" s="45" t="s">
        <v>309</v>
      </c>
      <c r="D143" s="45" t="s">
        <v>0</v>
      </c>
      <c r="E143" s="45" t="s">
        <v>5</v>
      </c>
      <c r="F143" s="46" t="s">
        <v>267</v>
      </c>
      <c r="G143" s="24"/>
      <c r="H143" s="11"/>
    </row>
    <row r="144" ht="14.25" customHeight="1">
      <c r="A144" s="43" t="s">
        <v>310</v>
      </c>
      <c r="B144" s="44" t="s">
        <v>6</v>
      </c>
      <c r="C144" s="45" t="s">
        <v>311</v>
      </c>
      <c r="D144" s="45" t="s">
        <v>0</v>
      </c>
      <c r="E144" s="45" t="s">
        <v>5</v>
      </c>
      <c r="F144" s="46" t="s">
        <v>270</v>
      </c>
      <c r="G144" s="24"/>
      <c r="H144" s="11"/>
    </row>
    <row r="145" ht="14.25" customHeight="1">
      <c r="A145" s="43" t="s">
        <v>312</v>
      </c>
      <c r="B145" s="44" t="s">
        <v>6</v>
      </c>
      <c r="C145" s="45" t="s">
        <v>313</v>
      </c>
      <c r="D145" s="45" t="s">
        <v>0</v>
      </c>
      <c r="E145" s="45" t="s">
        <v>5</v>
      </c>
      <c r="F145" s="48" t="s">
        <v>314</v>
      </c>
      <c r="G145" s="24"/>
      <c r="H145" s="11"/>
    </row>
    <row r="146" ht="14.25" customHeight="1">
      <c r="A146" s="43" t="s">
        <v>315</v>
      </c>
      <c r="B146" s="44" t="s">
        <v>6</v>
      </c>
      <c r="C146" s="45" t="s">
        <v>316</v>
      </c>
      <c r="D146" s="45" t="s">
        <v>0</v>
      </c>
      <c r="E146" s="45" t="s">
        <v>5</v>
      </c>
      <c r="F146" s="48" t="s">
        <v>317</v>
      </c>
      <c r="G146" s="24"/>
      <c r="H146" s="11"/>
    </row>
    <row r="147" ht="14.25" customHeight="1">
      <c r="A147" s="43" t="s">
        <v>318</v>
      </c>
      <c r="B147" s="44" t="s">
        <v>6</v>
      </c>
      <c r="C147" s="45" t="s">
        <v>319</v>
      </c>
      <c r="D147" s="45" t="s">
        <v>0</v>
      </c>
      <c r="E147" s="45" t="s">
        <v>5</v>
      </c>
      <c r="F147" s="46" t="s">
        <v>267</v>
      </c>
      <c r="G147" s="31"/>
      <c r="H147" s="11"/>
    </row>
    <row r="148" ht="14.25" customHeight="1">
      <c r="A148" s="43" t="s">
        <v>320</v>
      </c>
      <c r="B148" s="44" t="s">
        <v>6</v>
      </c>
      <c r="C148" s="45" t="s">
        <v>321</v>
      </c>
      <c r="D148" s="45" t="s">
        <v>0</v>
      </c>
      <c r="E148" s="45" t="s">
        <v>5</v>
      </c>
      <c r="F148" s="46" t="s">
        <v>270</v>
      </c>
      <c r="G148" s="24"/>
      <c r="H148" s="11"/>
    </row>
    <row r="149" ht="14.25" customHeight="1">
      <c r="A149" s="43" t="s">
        <v>27</v>
      </c>
      <c r="B149" s="49" t="s">
        <v>14</v>
      </c>
      <c r="C149" s="45" t="s">
        <v>322</v>
      </c>
      <c r="D149" s="50" t="s">
        <v>14</v>
      </c>
      <c r="E149" s="50" t="s">
        <v>14</v>
      </c>
      <c r="F149" s="46"/>
      <c r="G149" s="28"/>
      <c r="H149" s="11"/>
    </row>
    <row r="150" ht="14.25" customHeight="1">
      <c r="A150" s="43" t="s">
        <v>27</v>
      </c>
      <c r="B150" s="49" t="s">
        <v>14</v>
      </c>
      <c r="C150" s="45" t="s">
        <v>323</v>
      </c>
      <c r="D150" s="50" t="s">
        <v>14</v>
      </c>
      <c r="E150" s="50" t="s">
        <v>14</v>
      </c>
      <c r="F150" s="46"/>
      <c r="G150" s="28"/>
      <c r="H150" s="11"/>
    </row>
    <row r="151" ht="14.25" customHeight="1">
      <c r="A151" s="43" t="s">
        <v>324</v>
      </c>
      <c r="B151" s="44" t="s">
        <v>2</v>
      </c>
      <c r="C151" s="45" t="s">
        <v>325</v>
      </c>
      <c r="D151" s="45" t="s">
        <v>0</v>
      </c>
      <c r="E151" s="45" t="s">
        <v>5</v>
      </c>
      <c r="F151" s="45" t="s">
        <v>326</v>
      </c>
      <c r="G151" s="24"/>
      <c r="H151" s="11"/>
    </row>
    <row r="152" ht="14.25" customHeight="1">
      <c r="A152" s="43" t="s">
        <v>327</v>
      </c>
      <c r="B152" s="44" t="s">
        <v>2</v>
      </c>
      <c r="C152" s="45" t="s">
        <v>328</v>
      </c>
      <c r="D152" s="45" t="s">
        <v>0</v>
      </c>
      <c r="E152" s="45" t="s">
        <v>5</v>
      </c>
      <c r="F152" s="45" t="s">
        <v>329</v>
      </c>
      <c r="G152" s="24"/>
      <c r="H152" s="11"/>
    </row>
    <row r="153" ht="14.25" customHeight="1">
      <c r="A153" s="43" t="s">
        <v>27</v>
      </c>
      <c r="B153" s="49" t="s">
        <v>14</v>
      </c>
      <c r="C153" s="45" t="s">
        <v>330</v>
      </c>
      <c r="D153" s="50" t="s">
        <v>14</v>
      </c>
      <c r="E153" s="50" t="s">
        <v>14</v>
      </c>
      <c r="F153" s="46"/>
      <c r="G153" s="28"/>
      <c r="H153" s="11"/>
    </row>
    <row r="154" ht="14.25" customHeight="1">
      <c r="A154" s="43" t="s">
        <v>27</v>
      </c>
      <c r="B154" s="49" t="s">
        <v>14</v>
      </c>
      <c r="C154" s="45" t="s">
        <v>331</v>
      </c>
      <c r="D154" s="50" t="s">
        <v>14</v>
      </c>
      <c r="E154" s="50" t="s">
        <v>14</v>
      </c>
      <c r="F154" s="46"/>
      <c r="G154" s="28"/>
      <c r="H154" s="11"/>
    </row>
    <row r="155" ht="14.25" customHeight="1">
      <c r="A155" s="43" t="s">
        <v>332</v>
      </c>
      <c r="B155" s="44" t="s">
        <v>2</v>
      </c>
      <c r="C155" s="45" t="s">
        <v>333</v>
      </c>
      <c r="D155" s="45" t="s">
        <v>0</v>
      </c>
      <c r="E155" s="45" t="s">
        <v>5</v>
      </c>
      <c r="F155" s="50" t="s">
        <v>334</v>
      </c>
      <c r="G155" s="24"/>
      <c r="H155" s="11"/>
    </row>
    <row r="156" ht="14.25" customHeight="1">
      <c r="A156" s="43" t="s">
        <v>335</v>
      </c>
      <c r="B156" s="44" t="s">
        <v>2</v>
      </c>
      <c r="C156" s="45" t="s">
        <v>336</v>
      </c>
      <c r="D156" s="45" t="s">
        <v>0</v>
      </c>
      <c r="E156" s="45" t="s">
        <v>5</v>
      </c>
      <c r="F156" s="50" t="s">
        <v>337</v>
      </c>
      <c r="G156" s="39"/>
      <c r="H156" s="11"/>
    </row>
    <row r="157" ht="14.25" customHeight="1">
      <c r="A157" s="18" t="s">
        <v>338</v>
      </c>
      <c r="B157" s="19"/>
      <c r="C157" s="19" t="s">
        <v>339</v>
      </c>
      <c r="D157" s="19"/>
      <c r="E157" s="19"/>
      <c r="F157" s="19" t="s">
        <v>264</v>
      </c>
      <c r="G157" s="20"/>
      <c r="H157" s="11"/>
    </row>
    <row r="158" ht="14.25" customHeight="1">
      <c r="A158" s="43" t="s">
        <v>340</v>
      </c>
      <c r="B158" s="44" t="s">
        <v>6</v>
      </c>
      <c r="C158" s="45" t="s">
        <v>341</v>
      </c>
      <c r="D158" s="45" t="s">
        <v>0</v>
      </c>
      <c r="E158" s="45" t="s">
        <v>5</v>
      </c>
      <c r="F158" s="46" t="s">
        <v>342</v>
      </c>
      <c r="G158" s="51"/>
      <c r="H158" s="11"/>
    </row>
    <row r="159" ht="14.25" customHeight="1">
      <c r="A159" s="43" t="s">
        <v>343</v>
      </c>
      <c r="B159" s="44" t="s">
        <v>6</v>
      </c>
      <c r="C159" s="45" t="s">
        <v>344</v>
      </c>
      <c r="D159" s="45" t="s">
        <v>0</v>
      </c>
      <c r="E159" s="45" t="s">
        <v>5</v>
      </c>
      <c r="F159" s="46" t="s">
        <v>345</v>
      </c>
      <c r="G159" s="51"/>
      <c r="H159" s="11"/>
    </row>
    <row r="160" ht="14.25" customHeight="1">
      <c r="A160" s="43" t="s">
        <v>346</v>
      </c>
      <c r="B160" s="44" t="s">
        <v>6</v>
      </c>
      <c r="C160" s="45" t="s">
        <v>347</v>
      </c>
      <c r="D160" s="45" t="s">
        <v>0</v>
      </c>
      <c r="E160" s="45" t="s">
        <v>5</v>
      </c>
      <c r="F160" s="46" t="s">
        <v>348</v>
      </c>
      <c r="G160" s="51"/>
      <c r="H160" s="11"/>
    </row>
    <row r="161" ht="14.25" customHeight="1">
      <c r="A161" s="43" t="s">
        <v>349</v>
      </c>
      <c r="B161" s="44" t="s">
        <v>6</v>
      </c>
      <c r="C161" s="45" t="s">
        <v>350</v>
      </c>
      <c r="D161" s="45" t="s">
        <v>0</v>
      </c>
      <c r="E161" s="45" t="s">
        <v>5</v>
      </c>
      <c r="F161" s="45" t="s">
        <v>267</v>
      </c>
      <c r="G161" s="24"/>
      <c r="H161" s="11"/>
    </row>
    <row r="162" ht="14.25" customHeight="1">
      <c r="A162" s="43" t="s">
        <v>351</v>
      </c>
      <c r="B162" s="44" t="s">
        <v>6</v>
      </c>
      <c r="C162" s="45" t="s">
        <v>352</v>
      </c>
      <c r="D162" s="45" t="s">
        <v>0</v>
      </c>
      <c r="E162" s="45" t="s">
        <v>5</v>
      </c>
      <c r="F162" s="46" t="s">
        <v>270</v>
      </c>
      <c r="G162" s="24"/>
      <c r="H162" s="11"/>
    </row>
    <row r="163" ht="14.25" customHeight="1">
      <c r="A163" s="43" t="s">
        <v>353</v>
      </c>
      <c r="B163" s="44" t="s">
        <v>6</v>
      </c>
      <c r="C163" s="45" t="s">
        <v>354</v>
      </c>
      <c r="D163" s="45" t="s">
        <v>0</v>
      </c>
      <c r="E163" s="45" t="s">
        <v>5</v>
      </c>
      <c r="F163" s="45" t="s">
        <v>267</v>
      </c>
      <c r="G163" s="24"/>
      <c r="H163" s="11"/>
    </row>
    <row r="164" ht="14.25" customHeight="1">
      <c r="A164" s="43" t="s">
        <v>355</v>
      </c>
      <c r="B164" s="44" t="s">
        <v>6</v>
      </c>
      <c r="C164" s="45" t="s">
        <v>356</v>
      </c>
      <c r="D164" s="45" t="s">
        <v>0</v>
      </c>
      <c r="E164" s="45" t="s">
        <v>5</v>
      </c>
      <c r="F164" s="46" t="s">
        <v>270</v>
      </c>
      <c r="G164" s="24"/>
      <c r="H164" s="11"/>
    </row>
    <row r="165" ht="14.25" customHeight="1">
      <c r="A165" s="43" t="s">
        <v>357</v>
      </c>
      <c r="B165" s="44" t="s">
        <v>6</v>
      </c>
      <c r="C165" s="45" t="s">
        <v>358</v>
      </c>
      <c r="D165" s="45" t="s">
        <v>0</v>
      </c>
      <c r="E165" s="45" t="s">
        <v>5</v>
      </c>
      <c r="F165" s="45" t="s">
        <v>285</v>
      </c>
      <c r="G165" s="24"/>
      <c r="H165" s="11"/>
    </row>
    <row r="166" ht="14.25" customHeight="1">
      <c r="A166" s="43" t="s">
        <v>359</v>
      </c>
      <c r="B166" s="44" t="s">
        <v>6</v>
      </c>
      <c r="C166" s="45" t="s">
        <v>360</v>
      </c>
      <c r="D166" s="45" t="s">
        <v>0</v>
      </c>
      <c r="E166" s="45" t="s">
        <v>5</v>
      </c>
      <c r="F166" s="45" t="s">
        <v>288</v>
      </c>
      <c r="G166" s="24"/>
      <c r="H166" s="11"/>
    </row>
    <row r="167" ht="14.25" customHeight="1">
      <c r="A167" s="43" t="s">
        <v>361</v>
      </c>
      <c r="B167" s="44" t="s">
        <v>6</v>
      </c>
      <c r="C167" s="45" t="s">
        <v>362</v>
      </c>
      <c r="D167" s="45" t="s">
        <v>0</v>
      </c>
      <c r="E167" s="45" t="s">
        <v>5</v>
      </c>
      <c r="F167" s="45" t="s">
        <v>291</v>
      </c>
      <c r="G167" s="24"/>
      <c r="H167" s="11"/>
    </row>
    <row r="168" ht="14.25" customHeight="1">
      <c r="A168" s="43" t="s">
        <v>363</v>
      </c>
      <c r="B168" s="44" t="s">
        <v>6</v>
      </c>
      <c r="C168" s="45" t="s">
        <v>364</v>
      </c>
      <c r="D168" s="45" t="s">
        <v>0</v>
      </c>
      <c r="E168" s="45" t="s">
        <v>5</v>
      </c>
      <c r="F168" s="45" t="s">
        <v>294</v>
      </c>
      <c r="G168" s="24"/>
      <c r="H168" s="11"/>
    </row>
    <row r="169" ht="14.25" customHeight="1">
      <c r="A169" s="43" t="s">
        <v>365</v>
      </c>
      <c r="B169" s="44" t="s">
        <v>6</v>
      </c>
      <c r="C169" s="45" t="s">
        <v>366</v>
      </c>
      <c r="D169" s="45" t="s">
        <v>0</v>
      </c>
      <c r="E169" s="45" t="s">
        <v>5</v>
      </c>
      <c r="F169" s="45" t="s">
        <v>267</v>
      </c>
      <c r="G169" s="24"/>
    </row>
    <row r="170" ht="14.25" customHeight="1">
      <c r="A170" s="43" t="s">
        <v>367</v>
      </c>
      <c r="B170" s="44" t="s">
        <v>6</v>
      </c>
      <c r="C170" s="45" t="s">
        <v>368</v>
      </c>
      <c r="D170" s="45" t="s">
        <v>0</v>
      </c>
      <c r="E170" s="45" t="s">
        <v>5</v>
      </c>
      <c r="F170" s="46" t="s">
        <v>270</v>
      </c>
      <c r="G170" s="24"/>
    </row>
    <row r="171" ht="14.25" customHeight="1">
      <c r="A171" s="43" t="s">
        <v>369</v>
      </c>
      <c r="B171" s="44" t="s">
        <v>6</v>
      </c>
      <c r="C171" s="45" t="s">
        <v>370</v>
      </c>
      <c r="D171" s="45" t="s">
        <v>0</v>
      </c>
      <c r="E171" s="45" t="s">
        <v>5</v>
      </c>
      <c r="F171" s="45" t="s">
        <v>267</v>
      </c>
      <c r="G171" s="24"/>
    </row>
    <row r="172" ht="14.25" customHeight="1">
      <c r="A172" s="43" t="s">
        <v>371</v>
      </c>
      <c r="B172" s="44" t="s">
        <v>6</v>
      </c>
      <c r="C172" s="45" t="s">
        <v>372</v>
      </c>
      <c r="D172" s="45" t="s">
        <v>0</v>
      </c>
      <c r="E172" s="45" t="s">
        <v>5</v>
      </c>
      <c r="F172" s="46" t="s">
        <v>270</v>
      </c>
      <c r="G172" s="24"/>
    </row>
    <row r="173" ht="14.25" customHeight="1">
      <c r="A173" s="52" t="s">
        <v>373</v>
      </c>
      <c r="B173" s="53" t="s">
        <v>6</v>
      </c>
      <c r="C173" s="45" t="s">
        <v>374</v>
      </c>
      <c r="D173" s="54" t="s">
        <v>0</v>
      </c>
      <c r="E173" s="54" t="s">
        <v>5</v>
      </c>
      <c r="F173" s="55" t="s">
        <v>375</v>
      </c>
      <c r="G173" s="24"/>
    </row>
    <row r="174" ht="14.25" customHeight="1">
      <c r="A174" s="18" t="s">
        <v>376</v>
      </c>
      <c r="B174" s="19"/>
      <c r="C174" s="19" t="s">
        <v>377</v>
      </c>
      <c r="D174" s="19"/>
      <c r="E174" s="19"/>
      <c r="F174" s="19" t="s">
        <v>264</v>
      </c>
      <c r="G174" s="20"/>
    </row>
    <row r="175" ht="14.25" customHeight="1">
      <c r="A175" s="43" t="s">
        <v>378</v>
      </c>
      <c r="B175" s="44" t="s">
        <v>6</v>
      </c>
      <c r="C175" s="45" t="s">
        <v>379</v>
      </c>
      <c r="D175" s="45" t="s">
        <v>0</v>
      </c>
      <c r="E175" s="45" t="s">
        <v>5</v>
      </c>
      <c r="F175" s="50" t="s">
        <v>380</v>
      </c>
      <c r="G175" s="24"/>
    </row>
    <row r="176" ht="14.25" customHeight="1">
      <c r="A176" s="43" t="s">
        <v>381</v>
      </c>
      <c r="B176" s="44" t="s">
        <v>6</v>
      </c>
      <c r="C176" s="45" t="s">
        <v>382</v>
      </c>
      <c r="D176" s="45" t="s">
        <v>0</v>
      </c>
      <c r="E176" s="45" t="s">
        <v>5</v>
      </c>
      <c r="F176" s="45" t="s">
        <v>383</v>
      </c>
      <c r="G176" s="24"/>
    </row>
    <row r="177" ht="14.25" customHeight="1">
      <c r="A177" s="43" t="s">
        <v>384</v>
      </c>
      <c r="B177" s="44" t="s">
        <v>6</v>
      </c>
      <c r="C177" s="45" t="s">
        <v>385</v>
      </c>
      <c r="D177" s="45" t="s">
        <v>0</v>
      </c>
      <c r="E177" s="45" t="s">
        <v>5</v>
      </c>
      <c r="F177" s="45" t="s">
        <v>386</v>
      </c>
      <c r="G177" s="24"/>
    </row>
    <row r="178" ht="14.25" customHeight="1">
      <c r="A178" s="43" t="s">
        <v>387</v>
      </c>
      <c r="B178" s="44" t="s">
        <v>6</v>
      </c>
      <c r="C178" s="45" t="s">
        <v>388</v>
      </c>
      <c r="D178" s="45" t="s">
        <v>0</v>
      </c>
      <c r="E178" s="45" t="s">
        <v>5</v>
      </c>
      <c r="F178" s="45" t="s">
        <v>389</v>
      </c>
      <c r="G178" s="24"/>
    </row>
    <row r="179" ht="14.25" customHeight="1">
      <c r="A179" s="43" t="s">
        <v>390</v>
      </c>
      <c r="B179" s="44" t="s">
        <v>6</v>
      </c>
      <c r="C179" s="45" t="s">
        <v>391</v>
      </c>
      <c r="D179" s="45" t="s">
        <v>0</v>
      </c>
      <c r="E179" s="45" t="s">
        <v>5</v>
      </c>
      <c r="F179" s="45" t="s">
        <v>392</v>
      </c>
      <c r="G179" s="24"/>
    </row>
    <row r="180" ht="14.25" customHeight="1">
      <c r="A180" s="43" t="s">
        <v>393</v>
      </c>
      <c r="B180" s="44" t="s">
        <v>6</v>
      </c>
      <c r="C180" s="45" t="s">
        <v>394</v>
      </c>
      <c r="D180" s="45" t="s">
        <v>0</v>
      </c>
      <c r="E180" s="45" t="s">
        <v>5</v>
      </c>
      <c r="F180" s="45" t="s">
        <v>395</v>
      </c>
      <c r="G180" s="24"/>
    </row>
    <row r="181" ht="14.25" customHeight="1">
      <c r="A181" s="43" t="s">
        <v>396</v>
      </c>
      <c r="B181" s="44" t="s">
        <v>6</v>
      </c>
      <c r="C181" s="45" t="s">
        <v>397</v>
      </c>
      <c r="D181" s="45" t="s">
        <v>0</v>
      </c>
      <c r="E181" s="45" t="s">
        <v>5</v>
      </c>
      <c r="F181" s="45" t="s">
        <v>398</v>
      </c>
      <c r="G181" s="24"/>
    </row>
    <row r="182" ht="14.25" customHeight="1">
      <c r="A182" s="43" t="s">
        <v>399</v>
      </c>
      <c r="B182" s="44" t="s">
        <v>6</v>
      </c>
      <c r="C182" s="45" t="s">
        <v>400</v>
      </c>
      <c r="D182" s="45" t="s">
        <v>0</v>
      </c>
      <c r="E182" s="45" t="s">
        <v>5</v>
      </c>
      <c r="F182" s="45" t="s">
        <v>401</v>
      </c>
      <c r="G182" s="24"/>
    </row>
    <row r="183" ht="14.25" customHeight="1">
      <c r="A183" s="43" t="s">
        <v>402</v>
      </c>
      <c r="B183" s="44" t="s">
        <v>6</v>
      </c>
      <c r="C183" s="45" t="s">
        <v>403</v>
      </c>
      <c r="D183" s="45" t="s">
        <v>0</v>
      </c>
      <c r="E183" s="45" t="s">
        <v>5</v>
      </c>
      <c r="F183" s="45" t="s">
        <v>404</v>
      </c>
      <c r="G183" s="24"/>
    </row>
    <row r="184" ht="14.25" customHeight="1">
      <c r="A184" s="43" t="s">
        <v>405</v>
      </c>
      <c r="B184" s="44" t="s">
        <v>6</v>
      </c>
      <c r="C184" s="45" t="s">
        <v>406</v>
      </c>
      <c r="D184" s="45" t="s">
        <v>0</v>
      </c>
      <c r="E184" s="45" t="s">
        <v>5</v>
      </c>
      <c r="F184" s="45" t="s">
        <v>407</v>
      </c>
      <c r="G184" s="24"/>
    </row>
    <row r="185" ht="14.25" customHeight="1">
      <c r="A185" s="43" t="s">
        <v>408</v>
      </c>
      <c r="B185" s="44" t="s">
        <v>6</v>
      </c>
      <c r="C185" s="45" t="s">
        <v>409</v>
      </c>
      <c r="D185" s="45" t="s">
        <v>0</v>
      </c>
      <c r="E185" s="45" t="s">
        <v>5</v>
      </c>
      <c r="F185" s="50" t="s">
        <v>410</v>
      </c>
      <c r="G185" s="24"/>
    </row>
    <row r="186" ht="14.25" customHeight="1">
      <c r="A186" s="56" t="s">
        <v>411</v>
      </c>
      <c r="B186" s="49" t="s">
        <v>6</v>
      </c>
      <c r="C186" s="45" t="s">
        <v>412</v>
      </c>
      <c r="D186" s="50" t="s">
        <v>0</v>
      </c>
      <c r="E186" s="50" t="s">
        <v>5</v>
      </c>
      <c r="F186" s="45"/>
      <c r="G186" s="24"/>
    </row>
    <row r="187" ht="14.25" customHeight="1">
      <c r="A187" s="43" t="s">
        <v>27</v>
      </c>
      <c r="B187" s="44"/>
      <c r="C187" s="45" t="s">
        <v>413</v>
      </c>
      <c r="D187" s="45"/>
      <c r="E187" s="45"/>
      <c r="F187" s="45"/>
      <c r="G187" s="28"/>
    </row>
    <row r="188" ht="14.25" customHeight="1">
      <c r="A188" s="43" t="s">
        <v>27</v>
      </c>
      <c r="B188" s="44"/>
      <c r="C188" s="45" t="s">
        <v>414</v>
      </c>
      <c r="D188" s="45"/>
      <c r="E188" s="45"/>
      <c r="F188" s="45"/>
      <c r="G188" s="28"/>
    </row>
    <row r="189" ht="14.25" customHeight="1">
      <c r="A189" s="43" t="s">
        <v>27</v>
      </c>
      <c r="B189" s="44"/>
      <c r="C189" s="45" t="s">
        <v>415</v>
      </c>
      <c r="D189" s="45"/>
      <c r="E189" s="45"/>
      <c r="F189" s="45"/>
      <c r="G189" s="28"/>
    </row>
    <row r="190" ht="14.25" customHeight="1">
      <c r="A190" s="43" t="s">
        <v>27</v>
      </c>
      <c r="B190" s="44"/>
      <c r="C190" s="45" t="s">
        <v>416</v>
      </c>
      <c r="D190" s="45"/>
      <c r="E190" s="45"/>
      <c r="F190" s="45"/>
      <c r="G190" s="29"/>
    </row>
    <row r="191" ht="14.25" customHeight="1">
      <c r="A191" s="18" t="s">
        <v>417</v>
      </c>
      <c r="B191" s="19"/>
      <c r="C191" s="19" t="s">
        <v>418</v>
      </c>
      <c r="D191" s="19"/>
      <c r="E191" s="19"/>
      <c r="F191" s="19" t="s">
        <v>264</v>
      </c>
      <c r="G191" s="20"/>
    </row>
    <row r="192" ht="14.25" customHeight="1">
      <c r="A192" s="43" t="s">
        <v>419</v>
      </c>
      <c r="B192" s="44" t="s">
        <v>6</v>
      </c>
      <c r="C192" s="45" t="s">
        <v>420</v>
      </c>
      <c r="D192" s="45" t="s">
        <v>0</v>
      </c>
      <c r="E192" s="45" t="s">
        <v>5</v>
      </c>
      <c r="F192" s="50" t="s">
        <v>421</v>
      </c>
      <c r="G192" s="24"/>
    </row>
    <row r="193" ht="14.25" customHeight="1">
      <c r="A193" s="43" t="s">
        <v>422</v>
      </c>
      <c r="B193" s="44" t="s">
        <v>2</v>
      </c>
      <c r="C193" s="45" t="s">
        <v>423</v>
      </c>
      <c r="D193" s="45" t="s">
        <v>0</v>
      </c>
      <c r="E193" s="45" t="s">
        <v>5</v>
      </c>
      <c r="F193" s="45" t="s">
        <v>424</v>
      </c>
      <c r="G193" s="24"/>
    </row>
    <row r="194" ht="14.25" customHeight="1">
      <c r="A194" s="43" t="s">
        <v>425</v>
      </c>
      <c r="B194" s="44" t="s">
        <v>2</v>
      </c>
      <c r="C194" s="45" t="s">
        <v>426</v>
      </c>
      <c r="D194" s="45" t="s">
        <v>0</v>
      </c>
      <c r="E194" s="45" t="s">
        <v>5</v>
      </c>
      <c r="F194" s="50" t="s">
        <v>427</v>
      </c>
      <c r="G194" s="24"/>
    </row>
    <row r="195" ht="14.25" customHeight="1">
      <c r="A195" s="43" t="s">
        <v>428</v>
      </c>
      <c r="B195" s="44" t="s">
        <v>6</v>
      </c>
      <c r="C195" s="45" t="s">
        <v>429</v>
      </c>
      <c r="D195" s="45" t="s">
        <v>0</v>
      </c>
      <c r="E195" s="45" t="s">
        <v>5</v>
      </c>
      <c r="F195" s="45" t="s">
        <v>430</v>
      </c>
      <c r="G195" s="24"/>
    </row>
    <row r="196" ht="14.25" customHeight="1">
      <c r="A196" s="43" t="s">
        <v>431</v>
      </c>
      <c r="B196" s="44" t="s">
        <v>2</v>
      </c>
      <c r="C196" s="45" t="s">
        <v>432</v>
      </c>
      <c r="D196" s="45" t="s">
        <v>0</v>
      </c>
      <c r="E196" s="45" t="s">
        <v>5</v>
      </c>
      <c r="F196" s="50" t="s">
        <v>433</v>
      </c>
      <c r="G196" s="24"/>
    </row>
    <row r="197" ht="14.25" customHeight="1">
      <c r="A197" s="43" t="s">
        <v>434</v>
      </c>
      <c r="B197" s="44" t="s">
        <v>2</v>
      </c>
      <c r="C197" s="45" t="s">
        <v>435</v>
      </c>
      <c r="D197" s="45" t="s">
        <v>0</v>
      </c>
      <c r="E197" s="45" t="s">
        <v>5</v>
      </c>
      <c r="F197" s="45" t="s">
        <v>436</v>
      </c>
      <c r="G197" s="24"/>
    </row>
    <row r="198" ht="14.25" customHeight="1">
      <c r="A198" s="43" t="s">
        <v>437</v>
      </c>
      <c r="B198" s="44" t="s">
        <v>6</v>
      </c>
      <c r="C198" s="45" t="s">
        <v>438</v>
      </c>
      <c r="D198" s="45" t="s">
        <v>0</v>
      </c>
      <c r="E198" s="45" t="s">
        <v>5</v>
      </c>
      <c r="F198" s="45" t="s">
        <v>439</v>
      </c>
      <c r="G198" s="31"/>
    </row>
    <row r="199" ht="14.25" customHeight="1">
      <c r="A199" s="43" t="s">
        <v>440</v>
      </c>
      <c r="B199" s="44" t="s">
        <v>2</v>
      </c>
      <c r="C199" s="45" t="s">
        <v>441</v>
      </c>
      <c r="D199" s="45" t="s">
        <v>0</v>
      </c>
      <c r="E199" s="45" t="s">
        <v>5</v>
      </c>
      <c r="F199" s="50" t="s">
        <v>442</v>
      </c>
      <c r="G199" s="24"/>
    </row>
    <row r="200" ht="14.25" customHeight="1">
      <c r="A200" s="43" t="s">
        <v>443</v>
      </c>
      <c r="B200" s="44" t="s">
        <v>2</v>
      </c>
      <c r="C200" s="45" t="s">
        <v>444</v>
      </c>
      <c r="D200" s="45" t="s">
        <v>0</v>
      </c>
      <c r="E200" s="45" t="s">
        <v>5</v>
      </c>
      <c r="F200" s="45" t="s">
        <v>445</v>
      </c>
      <c r="G200" s="24"/>
    </row>
    <row r="201" ht="14.25" customHeight="1">
      <c r="A201" s="43" t="s">
        <v>446</v>
      </c>
      <c r="B201" s="44" t="s">
        <v>6</v>
      </c>
      <c r="C201" s="45" t="s">
        <v>447</v>
      </c>
      <c r="D201" s="45" t="s">
        <v>0</v>
      </c>
      <c r="E201" s="45" t="s">
        <v>5</v>
      </c>
      <c r="F201" s="45" t="s">
        <v>448</v>
      </c>
      <c r="G201" s="32"/>
    </row>
    <row r="202" ht="14.25" customHeight="1">
      <c r="A202" s="43" t="s">
        <v>449</v>
      </c>
      <c r="B202" s="44" t="s">
        <v>6</v>
      </c>
      <c r="C202" s="45" t="s">
        <v>450</v>
      </c>
      <c r="D202" s="45" t="s">
        <v>0</v>
      </c>
      <c r="E202" s="45" t="s">
        <v>5</v>
      </c>
      <c r="F202" s="45" t="s">
        <v>451</v>
      </c>
      <c r="G202" s="24"/>
    </row>
    <row r="203" ht="14.25" customHeight="1">
      <c r="A203" s="43" t="s">
        <v>452</v>
      </c>
      <c r="B203" s="44" t="s">
        <v>6</v>
      </c>
      <c r="C203" s="45" t="s">
        <v>453</v>
      </c>
      <c r="D203" s="45" t="s">
        <v>0</v>
      </c>
      <c r="E203" s="45" t="s">
        <v>5</v>
      </c>
      <c r="F203" s="50" t="s">
        <v>454</v>
      </c>
      <c r="G203" s="24"/>
    </row>
    <row r="204" ht="14.25" customHeight="1">
      <c r="A204" s="43" t="s">
        <v>455</v>
      </c>
      <c r="B204" s="44" t="s">
        <v>6</v>
      </c>
      <c r="C204" s="45" t="s">
        <v>456</v>
      </c>
      <c r="D204" s="45" t="s">
        <v>0</v>
      </c>
      <c r="E204" s="45" t="s">
        <v>5</v>
      </c>
      <c r="F204" s="45" t="s">
        <v>457</v>
      </c>
      <c r="G204" s="24"/>
    </row>
    <row r="205" ht="14.25" customHeight="1">
      <c r="A205" s="43" t="s">
        <v>458</v>
      </c>
      <c r="B205" s="44" t="s">
        <v>6</v>
      </c>
      <c r="C205" s="45" t="s">
        <v>459</v>
      </c>
      <c r="D205" s="45" t="s">
        <v>0</v>
      </c>
      <c r="E205" s="45" t="s">
        <v>5</v>
      </c>
      <c r="F205" s="45" t="s">
        <v>460</v>
      </c>
      <c r="G205" s="24"/>
    </row>
    <row r="206" ht="14.25" customHeight="1">
      <c r="A206" s="43" t="s">
        <v>461</v>
      </c>
      <c r="B206" s="44" t="s">
        <v>6</v>
      </c>
      <c r="C206" s="45" t="s">
        <v>462</v>
      </c>
      <c r="D206" s="45" t="s">
        <v>0</v>
      </c>
      <c r="E206" s="45" t="s">
        <v>5</v>
      </c>
      <c r="F206" s="45" t="s">
        <v>463</v>
      </c>
      <c r="G206" s="24"/>
    </row>
    <row r="207" ht="14.25" customHeight="1">
      <c r="A207" s="43" t="s">
        <v>27</v>
      </c>
      <c r="B207" s="44"/>
      <c r="C207" s="45" t="s">
        <v>464</v>
      </c>
      <c r="D207" s="45"/>
      <c r="E207" s="45"/>
      <c r="F207" s="45"/>
      <c r="G207" s="29"/>
    </row>
    <row r="208" ht="14.25" customHeight="1">
      <c r="A208" s="18" t="s">
        <v>465</v>
      </c>
      <c r="B208" s="19"/>
      <c r="C208" s="19" t="s">
        <v>466</v>
      </c>
      <c r="D208" s="19"/>
      <c r="E208" s="19"/>
      <c r="F208" s="19" t="s">
        <v>264</v>
      </c>
      <c r="G208" s="20"/>
    </row>
    <row r="209" ht="14.25" customHeight="1">
      <c r="A209" s="43" t="s">
        <v>467</v>
      </c>
      <c r="B209" s="44" t="s">
        <v>6</v>
      </c>
      <c r="C209" s="45" t="s">
        <v>468</v>
      </c>
      <c r="D209" s="45" t="s">
        <v>0</v>
      </c>
      <c r="E209" s="45" t="s">
        <v>5</v>
      </c>
      <c r="F209" s="45" t="s">
        <v>469</v>
      </c>
      <c r="G209" s="24"/>
    </row>
    <row r="210" ht="14.25" customHeight="1">
      <c r="A210" s="43" t="s">
        <v>470</v>
      </c>
      <c r="B210" s="44" t="s">
        <v>6</v>
      </c>
      <c r="C210" s="45" t="s">
        <v>471</v>
      </c>
      <c r="D210" s="45" t="s">
        <v>0</v>
      </c>
      <c r="E210" s="45" t="s">
        <v>5</v>
      </c>
      <c r="F210" s="45" t="s">
        <v>472</v>
      </c>
      <c r="G210" s="24"/>
    </row>
    <row r="211" ht="14.25" customHeight="1">
      <c r="A211" s="43" t="s">
        <v>473</v>
      </c>
      <c r="B211" s="44" t="s">
        <v>6</v>
      </c>
      <c r="C211" s="45" t="s">
        <v>474</v>
      </c>
      <c r="D211" s="45" t="s">
        <v>0</v>
      </c>
      <c r="E211" s="45" t="s">
        <v>5</v>
      </c>
      <c r="F211" s="45" t="s">
        <v>475</v>
      </c>
      <c r="G211" s="24"/>
    </row>
    <row r="212" ht="14.25" customHeight="1">
      <c r="A212" s="43" t="s">
        <v>476</v>
      </c>
      <c r="B212" s="44" t="s">
        <v>6</v>
      </c>
      <c r="C212" s="45" t="s">
        <v>477</v>
      </c>
      <c r="D212" s="45" t="s">
        <v>0</v>
      </c>
      <c r="E212" s="45" t="s">
        <v>5</v>
      </c>
      <c r="F212" s="45" t="s">
        <v>478</v>
      </c>
      <c r="G212" s="24"/>
    </row>
    <row r="213" ht="14.25" customHeight="1">
      <c r="A213" s="43" t="s">
        <v>479</v>
      </c>
      <c r="B213" s="44" t="s">
        <v>6</v>
      </c>
      <c r="C213" s="45" t="s">
        <v>480</v>
      </c>
      <c r="D213" s="45" t="s">
        <v>0</v>
      </c>
      <c r="E213" s="45" t="s">
        <v>5</v>
      </c>
      <c r="F213" s="45" t="s">
        <v>481</v>
      </c>
      <c r="G213" s="24"/>
    </row>
    <row r="214" ht="14.25" customHeight="1">
      <c r="A214" s="43" t="s">
        <v>482</v>
      </c>
      <c r="B214" s="44" t="s">
        <v>6</v>
      </c>
      <c r="C214" s="45" t="s">
        <v>483</v>
      </c>
      <c r="D214" s="45" t="s">
        <v>0</v>
      </c>
      <c r="E214" s="45" t="s">
        <v>5</v>
      </c>
      <c r="F214" s="45" t="s">
        <v>484</v>
      </c>
      <c r="G214" s="24"/>
    </row>
    <row r="215" ht="14.25" customHeight="1">
      <c r="A215" s="43" t="s">
        <v>485</v>
      </c>
      <c r="B215" s="44" t="s">
        <v>6</v>
      </c>
      <c r="C215" s="45" t="s">
        <v>486</v>
      </c>
      <c r="D215" s="45" t="s">
        <v>0</v>
      </c>
      <c r="E215" s="45" t="s">
        <v>5</v>
      </c>
      <c r="F215" s="45" t="s">
        <v>487</v>
      </c>
      <c r="G215" s="31"/>
    </row>
    <row r="216" ht="14.25" customHeight="1">
      <c r="A216" s="43" t="s">
        <v>488</v>
      </c>
      <c r="B216" s="44" t="s">
        <v>6</v>
      </c>
      <c r="C216" s="45" t="s">
        <v>489</v>
      </c>
      <c r="D216" s="45" t="s">
        <v>0</v>
      </c>
      <c r="E216" s="45" t="s">
        <v>5</v>
      </c>
      <c r="F216" s="45" t="s">
        <v>490</v>
      </c>
      <c r="G216" s="24"/>
    </row>
    <row r="217" ht="14.25" customHeight="1">
      <c r="A217" s="43" t="s">
        <v>491</v>
      </c>
      <c r="B217" s="44" t="s">
        <v>6</v>
      </c>
      <c r="C217" s="45" t="s">
        <v>492</v>
      </c>
      <c r="D217" s="45" t="s">
        <v>0</v>
      </c>
      <c r="E217" s="45" t="s">
        <v>5</v>
      </c>
      <c r="F217" s="45" t="s">
        <v>493</v>
      </c>
      <c r="G217" s="24"/>
    </row>
    <row r="218" ht="14.25" customHeight="1">
      <c r="A218" s="56" t="s">
        <v>494</v>
      </c>
      <c r="B218" s="44" t="s">
        <v>6</v>
      </c>
      <c r="C218" s="45" t="s">
        <v>495</v>
      </c>
      <c r="D218" s="45" t="s">
        <v>4</v>
      </c>
      <c r="E218" s="45" t="s">
        <v>5</v>
      </c>
      <c r="F218" s="50" t="s">
        <v>496</v>
      </c>
      <c r="G218" s="32"/>
    </row>
    <row r="219" ht="14.25" customHeight="1">
      <c r="A219" s="43" t="s">
        <v>27</v>
      </c>
      <c r="B219" s="44"/>
      <c r="C219" s="45" t="s">
        <v>497</v>
      </c>
      <c r="D219" s="45"/>
      <c r="E219" s="45"/>
      <c r="F219" s="45"/>
      <c r="G219" s="28"/>
    </row>
    <row r="220" ht="14.25" customHeight="1">
      <c r="A220" s="43" t="s">
        <v>27</v>
      </c>
      <c r="B220" s="44"/>
      <c r="C220" s="45" t="s">
        <v>498</v>
      </c>
      <c r="D220" s="45"/>
      <c r="E220" s="45"/>
      <c r="F220" s="45"/>
      <c r="G220" s="28"/>
    </row>
    <row r="221" ht="14.25" customHeight="1">
      <c r="A221" s="43" t="s">
        <v>27</v>
      </c>
      <c r="B221" s="44"/>
      <c r="C221" s="45" t="s">
        <v>499</v>
      </c>
      <c r="D221" s="45"/>
      <c r="E221" s="45"/>
      <c r="F221" s="45"/>
      <c r="G221" s="28"/>
    </row>
    <row r="222" ht="14.25" customHeight="1">
      <c r="A222" s="43" t="s">
        <v>27</v>
      </c>
      <c r="B222" s="44"/>
      <c r="C222" s="45" t="s">
        <v>500</v>
      </c>
      <c r="D222" s="45"/>
      <c r="E222" s="45"/>
      <c r="F222" s="45"/>
      <c r="G222" s="28"/>
    </row>
    <row r="223" ht="14.25" customHeight="1">
      <c r="A223" s="43" t="s">
        <v>27</v>
      </c>
      <c r="B223" s="44"/>
      <c r="C223" s="45" t="s">
        <v>501</v>
      </c>
      <c r="D223" s="45"/>
      <c r="E223" s="45"/>
      <c r="F223" s="45"/>
      <c r="G223" s="28"/>
    </row>
    <row r="224" ht="14.25" customHeight="1">
      <c r="A224" s="43" t="s">
        <v>27</v>
      </c>
      <c r="B224" s="44"/>
      <c r="C224" s="45" t="s">
        <v>502</v>
      </c>
      <c r="D224" s="45"/>
      <c r="E224" s="45"/>
      <c r="F224" s="45"/>
      <c r="G224" s="29"/>
    </row>
    <row r="225" ht="14.25" customHeight="1">
      <c r="A225" s="18" t="s">
        <v>503</v>
      </c>
      <c r="B225" s="19"/>
      <c r="C225" s="19"/>
      <c r="D225" s="19"/>
      <c r="E225" s="19"/>
      <c r="F225" s="19"/>
      <c r="G225" s="20"/>
    </row>
    <row r="226" ht="14.25" customHeight="1">
      <c r="A226" s="57" t="s">
        <v>504</v>
      </c>
      <c r="B226" s="58" t="s">
        <v>6</v>
      </c>
      <c r="C226" s="59"/>
      <c r="D226" s="59" t="s">
        <v>4</v>
      </c>
      <c r="E226" s="59" t="s">
        <v>1</v>
      </c>
      <c r="F226" s="59" t="s">
        <v>505</v>
      </c>
      <c r="G226" s="32"/>
    </row>
    <row r="227" ht="14.25" customHeight="1">
      <c r="A227" s="57" t="s">
        <v>506</v>
      </c>
      <c r="B227" s="58" t="s">
        <v>6</v>
      </c>
      <c r="C227" s="59"/>
      <c r="D227" s="59" t="s">
        <v>4</v>
      </c>
      <c r="E227" s="59" t="s">
        <v>1</v>
      </c>
      <c r="F227" s="59" t="s">
        <v>507</v>
      </c>
      <c r="G227" s="32"/>
    </row>
    <row r="228" ht="14.25" customHeight="1">
      <c r="A228" s="57" t="s">
        <v>508</v>
      </c>
      <c r="B228" s="58" t="s">
        <v>6</v>
      </c>
      <c r="C228" s="59"/>
      <c r="D228" s="59" t="s">
        <v>4</v>
      </c>
      <c r="E228" s="59" t="s">
        <v>1</v>
      </c>
      <c r="F228" s="59" t="s">
        <v>509</v>
      </c>
      <c r="G228" s="32"/>
    </row>
    <row r="229" ht="14.25" customHeight="1">
      <c r="A229" s="57"/>
      <c r="B229" s="58" t="s">
        <v>6</v>
      </c>
      <c r="C229" s="59"/>
      <c r="D229" s="59" t="s">
        <v>0</v>
      </c>
      <c r="E229" s="59"/>
      <c r="F229" s="59"/>
      <c r="G229" s="60"/>
    </row>
    <row r="230" ht="14.25" customHeight="1">
      <c r="A230" s="57"/>
      <c r="B230" s="58" t="s">
        <v>6</v>
      </c>
      <c r="C230" s="59"/>
      <c r="D230" s="59" t="s">
        <v>0</v>
      </c>
      <c r="E230" s="59"/>
      <c r="F230" s="59"/>
      <c r="G230" s="60"/>
    </row>
    <row r="231" ht="14.25" customHeight="1">
      <c r="A231" s="18" t="s">
        <v>510</v>
      </c>
      <c r="B231" s="19"/>
      <c r="C231" s="19"/>
      <c r="D231" s="19"/>
      <c r="E231" s="19"/>
      <c r="F231" s="19"/>
      <c r="G231" s="20"/>
    </row>
    <row r="232" ht="14.25" customHeight="1">
      <c r="A232" s="57"/>
      <c r="B232" s="58" t="s">
        <v>6</v>
      </c>
      <c r="C232" s="59"/>
      <c r="D232" s="59" t="s">
        <v>0</v>
      </c>
      <c r="E232" s="59"/>
      <c r="F232" s="59"/>
      <c r="G232" s="60"/>
    </row>
    <row r="233" ht="14.25" customHeight="1">
      <c r="A233" s="61"/>
      <c r="B233" s="62" t="s">
        <v>6</v>
      </c>
      <c r="C233" s="63"/>
      <c r="D233" s="63" t="s">
        <v>0</v>
      </c>
      <c r="E233" s="63"/>
      <c r="F233" s="63"/>
      <c r="G233" s="60"/>
    </row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>
      <c r="C241" s="11"/>
      <c r="F241" s="64"/>
      <c r="G241" s="11"/>
    </row>
    <row r="242" ht="14.25" customHeight="1">
      <c r="C242" s="11"/>
      <c r="F242" s="64"/>
      <c r="G242" s="11"/>
    </row>
    <row r="243" ht="14.25" customHeight="1">
      <c r="C243" s="11"/>
      <c r="F243" s="64"/>
      <c r="G243" s="11"/>
    </row>
    <row r="244" ht="14.25" customHeight="1">
      <c r="C244" s="11"/>
      <c r="F244" s="64"/>
      <c r="G244" s="11"/>
    </row>
    <row r="245" ht="14.25" customHeight="1">
      <c r="C245" s="11"/>
      <c r="F245" s="64"/>
      <c r="G245" s="11"/>
    </row>
    <row r="246" ht="14.25" customHeight="1">
      <c r="C246" s="11"/>
      <c r="F246" s="64"/>
      <c r="G246" s="11"/>
    </row>
    <row r="247" ht="14.25" customHeight="1">
      <c r="C247" s="11"/>
      <c r="F247" s="64"/>
      <c r="G247" s="11"/>
    </row>
    <row r="248" ht="14.25" customHeight="1">
      <c r="C248" s="11"/>
      <c r="F248" s="64"/>
      <c r="G248" s="11"/>
    </row>
    <row r="249" ht="14.25" customHeight="1">
      <c r="C249" s="11"/>
      <c r="F249" s="64"/>
      <c r="G249" s="11"/>
    </row>
    <row r="250" ht="14.25" customHeight="1">
      <c r="C250" s="11"/>
      <c r="F250" s="64"/>
      <c r="G250" s="11"/>
    </row>
    <row r="251" ht="14.25" customHeight="1">
      <c r="A251" s="25"/>
      <c r="C251" s="11"/>
      <c r="F251" s="64"/>
      <c r="G251" s="11"/>
    </row>
    <row r="252" ht="14.25" customHeight="1">
      <c r="A252" s="25"/>
      <c r="C252" s="11"/>
      <c r="F252" s="64"/>
      <c r="G252" s="11"/>
    </row>
    <row r="253" ht="14.25" customHeight="1">
      <c r="A253" s="25"/>
      <c r="C253" s="11"/>
      <c r="F253" s="64"/>
      <c r="G253" s="11"/>
    </row>
    <row r="254" ht="14.25" customHeight="1">
      <c r="C254" s="11"/>
      <c r="F254" s="64"/>
      <c r="G254" s="11"/>
    </row>
    <row r="255" ht="14.25" customHeight="1">
      <c r="C255" s="11"/>
      <c r="F255" s="64"/>
      <c r="G255" s="11"/>
    </row>
    <row r="256" ht="14.25" customHeight="1">
      <c r="C256" s="11"/>
      <c r="F256" s="64"/>
      <c r="G256" s="11"/>
    </row>
    <row r="257" ht="14.25" customHeight="1">
      <c r="C257" s="11"/>
      <c r="F257" s="64"/>
      <c r="G257" s="11"/>
    </row>
    <row r="258" ht="14.25" customHeight="1">
      <c r="C258" s="11"/>
      <c r="F258" s="64"/>
      <c r="G258" s="11"/>
    </row>
    <row r="259" ht="14.25" customHeight="1">
      <c r="C259" s="11"/>
      <c r="F259" s="64"/>
      <c r="G259" s="11"/>
    </row>
    <row r="260" ht="14.25" customHeight="1">
      <c r="A260" s="25"/>
      <c r="C260" s="11"/>
      <c r="F260" s="64"/>
      <c r="G260" s="11"/>
    </row>
    <row r="261" ht="14.25" customHeight="1">
      <c r="C261" s="11"/>
      <c r="F261" s="64"/>
      <c r="G261" s="11"/>
    </row>
    <row r="262" ht="14.25" customHeight="1">
      <c r="C262" s="11"/>
      <c r="F262" s="64"/>
      <c r="G262" s="11"/>
    </row>
    <row r="263" ht="14.25" customHeight="1">
      <c r="C263" s="11"/>
      <c r="F263" s="64"/>
      <c r="G263" s="11"/>
    </row>
    <row r="264" ht="14.25" customHeight="1">
      <c r="C264" s="11"/>
      <c r="F264" s="64"/>
      <c r="G264" s="11"/>
    </row>
    <row r="265" ht="14.25" customHeight="1">
      <c r="C265" s="11"/>
      <c r="F265" s="64"/>
      <c r="G265" s="11"/>
    </row>
    <row r="266" ht="14.25" customHeight="1">
      <c r="C266" s="11"/>
      <c r="F266" s="64"/>
      <c r="G266" s="11"/>
    </row>
    <row r="267" ht="14.25" customHeight="1">
      <c r="C267" s="11"/>
      <c r="F267" s="64"/>
      <c r="G267" s="11"/>
    </row>
    <row r="268" ht="14.25" customHeight="1">
      <c r="C268" s="11"/>
      <c r="F268" s="64"/>
      <c r="G268" s="11"/>
    </row>
    <row r="269" ht="14.25" customHeight="1">
      <c r="C269" s="11"/>
      <c r="F269" s="64"/>
      <c r="G269" s="11"/>
    </row>
    <row r="270" ht="14.25" customHeight="1">
      <c r="C270" s="11"/>
      <c r="F270" s="64"/>
      <c r="G270" s="11"/>
    </row>
    <row r="271" ht="14.25" customHeight="1">
      <c r="C271" s="11"/>
      <c r="F271" s="64"/>
      <c r="G271" s="11"/>
    </row>
    <row r="272" ht="14.25" customHeight="1">
      <c r="C272" s="11"/>
      <c r="F272" s="64"/>
      <c r="G272" s="11"/>
    </row>
    <row r="273" ht="14.25" customHeight="1">
      <c r="C273" s="11"/>
      <c r="F273" s="64"/>
      <c r="G273" s="11"/>
    </row>
    <row r="274" ht="14.25" customHeight="1">
      <c r="C274" s="11"/>
      <c r="F274" s="64"/>
      <c r="G274" s="11"/>
    </row>
    <row r="275" ht="14.25" customHeight="1">
      <c r="C275" s="11"/>
      <c r="F275" s="64"/>
      <c r="G275" s="11"/>
    </row>
    <row r="276" ht="14.25" customHeight="1">
      <c r="C276" s="11"/>
      <c r="F276" s="64"/>
      <c r="G276" s="11"/>
    </row>
    <row r="277" ht="14.25" customHeight="1">
      <c r="C277" s="11"/>
      <c r="F277" s="64"/>
      <c r="G277" s="11"/>
    </row>
    <row r="278" ht="14.25" customHeight="1">
      <c r="C278" s="11"/>
      <c r="F278" s="64"/>
      <c r="G278" s="11"/>
    </row>
    <row r="279" ht="14.25" customHeight="1">
      <c r="C279" s="11"/>
      <c r="F279" s="64"/>
      <c r="G279" s="11"/>
    </row>
    <row r="280" ht="14.25" customHeight="1">
      <c r="C280" s="11"/>
      <c r="F280" s="64"/>
      <c r="G280" s="11"/>
    </row>
    <row r="281" ht="14.25" customHeight="1">
      <c r="C281" s="11"/>
      <c r="F281" s="64"/>
      <c r="G281" s="11"/>
    </row>
    <row r="282" ht="14.25" customHeight="1">
      <c r="C282" s="11"/>
      <c r="F282" s="64"/>
      <c r="G282" s="11"/>
    </row>
    <row r="283" ht="14.25" customHeight="1">
      <c r="C283" s="11"/>
      <c r="F283" s="64"/>
      <c r="G283" s="11"/>
    </row>
    <row r="284" ht="14.25" customHeight="1">
      <c r="C284" s="11"/>
      <c r="F284" s="64"/>
      <c r="G284" s="11"/>
    </row>
    <row r="285" ht="14.25" customHeight="1">
      <c r="C285" s="11"/>
      <c r="F285" s="64"/>
      <c r="G285" s="11"/>
    </row>
    <row r="286" ht="14.25" customHeight="1">
      <c r="C286" s="11"/>
      <c r="F286" s="64"/>
      <c r="G286" s="11"/>
    </row>
    <row r="287" ht="14.25" customHeight="1">
      <c r="C287" s="11"/>
      <c r="F287" s="64"/>
      <c r="G287" s="11"/>
    </row>
    <row r="288" ht="14.25" customHeight="1">
      <c r="C288" s="11"/>
      <c r="F288" s="64"/>
      <c r="G288" s="11"/>
    </row>
    <row r="289" ht="14.25" customHeight="1">
      <c r="C289" s="11"/>
      <c r="F289" s="64"/>
      <c r="G289" s="11"/>
    </row>
    <row r="290" ht="14.25" customHeight="1">
      <c r="C290" s="11"/>
      <c r="F290" s="64"/>
      <c r="G290" s="11"/>
    </row>
    <row r="291" ht="14.25" customHeight="1">
      <c r="C291" s="11"/>
      <c r="F291" s="64"/>
      <c r="G291" s="11"/>
    </row>
    <row r="292" ht="14.25" customHeight="1">
      <c r="C292" s="11"/>
      <c r="F292" s="64"/>
      <c r="G292" s="11"/>
    </row>
    <row r="293" ht="14.25" customHeight="1">
      <c r="C293" s="11"/>
      <c r="F293" s="64"/>
      <c r="G293" s="11"/>
    </row>
    <row r="294" ht="14.25" customHeight="1">
      <c r="C294" s="11"/>
      <c r="F294" s="64"/>
      <c r="G294" s="11"/>
    </row>
    <row r="295" ht="14.25" customHeight="1">
      <c r="C295" s="11"/>
      <c r="F295" s="64"/>
      <c r="G295" s="11"/>
    </row>
    <row r="296" ht="14.25" customHeight="1">
      <c r="C296" s="11"/>
      <c r="F296" s="64"/>
      <c r="G296" s="11"/>
    </row>
    <row r="297" ht="14.25" customHeight="1">
      <c r="C297" s="11"/>
      <c r="F297" s="64"/>
      <c r="G297" s="11"/>
    </row>
    <row r="298" ht="14.25" customHeight="1">
      <c r="C298" s="11"/>
      <c r="F298" s="64"/>
      <c r="G298" s="11"/>
    </row>
    <row r="299" ht="14.25" customHeight="1">
      <c r="C299" s="11"/>
      <c r="F299" s="64"/>
      <c r="G299" s="11"/>
    </row>
    <row r="300" ht="14.25" customHeight="1">
      <c r="C300" s="11"/>
      <c r="F300" s="64"/>
      <c r="G300" s="11"/>
    </row>
    <row r="301" ht="14.25" customHeight="1">
      <c r="C301" s="11"/>
      <c r="F301" s="64"/>
      <c r="G301" s="11"/>
    </row>
    <row r="302" ht="14.25" customHeight="1">
      <c r="C302" s="11"/>
      <c r="F302" s="64"/>
      <c r="G302" s="11"/>
    </row>
    <row r="303" ht="14.25" customHeight="1">
      <c r="C303" s="11"/>
      <c r="F303" s="64"/>
      <c r="G303" s="11"/>
    </row>
    <row r="304" ht="14.25" customHeight="1">
      <c r="C304" s="11"/>
      <c r="F304" s="64"/>
      <c r="G304" s="11"/>
    </row>
    <row r="305" ht="14.25" customHeight="1">
      <c r="C305" s="11"/>
      <c r="F305" s="64"/>
      <c r="G305" s="11"/>
    </row>
    <row r="306" ht="14.25" customHeight="1">
      <c r="C306" s="11"/>
      <c r="F306" s="64"/>
      <c r="G306" s="11"/>
    </row>
    <row r="307" ht="14.25" customHeight="1">
      <c r="C307" s="11"/>
      <c r="F307" s="64"/>
      <c r="G307" s="11"/>
    </row>
    <row r="308" ht="14.25" customHeight="1">
      <c r="C308" s="11"/>
      <c r="F308" s="64"/>
      <c r="G308" s="11"/>
    </row>
    <row r="309" ht="14.25" customHeight="1">
      <c r="C309" s="11"/>
      <c r="F309" s="64"/>
      <c r="G309" s="11"/>
    </row>
    <row r="310" ht="14.25" customHeight="1">
      <c r="C310" s="11"/>
      <c r="F310" s="64"/>
      <c r="G310" s="11"/>
    </row>
    <row r="311" ht="14.25" customHeight="1">
      <c r="C311" s="11"/>
      <c r="F311" s="64"/>
      <c r="G311" s="11"/>
    </row>
    <row r="312" ht="14.25" customHeight="1">
      <c r="C312" s="11"/>
      <c r="F312" s="64"/>
      <c r="G312" s="11"/>
    </row>
    <row r="313" ht="14.25" customHeight="1">
      <c r="C313" s="11"/>
      <c r="F313" s="64"/>
      <c r="G313" s="11"/>
    </row>
    <row r="314" ht="14.25" customHeight="1">
      <c r="C314" s="11"/>
      <c r="F314" s="64"/>
      <c r="G314" s="11"/>
    </row>
    <row r="315" ht="14.25" customHeight="1">
      <c r="C315" s="11"/>
      <c r="F315" s="64"/>
      <c r="G315" s="11"/>
    </row>
    <row r="316" ht="14.25" customHeight="1">
      <c r="C316" s="11"/>
      <c r="F316" s="64"/>
      <c r="G316" s="11"/>
    </row>
    <row r="317" ht="14.25" customHeight="1">
      <c r="C317" s="11"/>
      <c r="F317" s="64"/>
      <c r="G317" s="11"/>
    </row>
    <row r="318" ht="14.25" customHeight="1">
      <c r="C318" s="11"/>
      <c r="F318" s="64"/>
      <c r="G318" s="11"/>
    </row>
    <row r="319" ht="14.25" customHeight="1">
      <c r="C319" s="11"/>
      <c r="F319" s="64"/>
      <c r="G319" s="11"/>
    </row>
    <row r="320" ht="14.25" customHeight="1">
      <c r="C320" s="11"/>
      <c r="F320" s="64"/>
      <c r="G320" s="11"/>
    </row>
    <row r="321" ht="14.25" customHeight="1">
      <c r="C321" s="11"/>
      <c r="F321" s="64"/>
      <c r="G321" s="11"/>
    </row>
    <row r="322" ht="14.25" customHeight="1">
      <c r="C322" s="11"/>
      <c r="F322" s="64"/>
      <c r="G322" s="11"/>
    </row>
    <row r="323" ht="14.25" customHeight="1">
      <c r="C323" s="11"/>
      <c r="F323" s="64"/>
      <c r="G323" s="11"/>
    </row>
    <row r="324" ht="14.25" customHeight="1">
      <c r="C324" s="11"/>
      <c r="F324" s="64"/>
      <c r="G324" s="11"/>
    </row>
    <row r="325" ht="14.25" customHeight="1">
      <c r="C325" s="11"/>
      <c r="F325" s="64"/>
      <c r="G325" s="11"/>
    </row>
    <row r="326" ht="14.25" customHeight="1">
      <c r="C326" s="11"/>
      <c r="F326" s="64"/>
      <c r="G326" s="11"/>
    </row>
    <row r="327" ht="14.25" customHeight="1">
      <c r="C327" s="11"/>
      <c r="F327" s="64"/>
      <c r="G327" s="11"/>
    </row>
    <row r="328" ht="14.25" customHeight="1">
      <c r="C328" s="11"/>
      <c r="F328" s="64"/>
      <c r="G328" s="11"/>
    </row>
    <row r="329" ht="14.25" customHeight="1">
      <c r="C329" s="11"/>
      <c r="F329" s="64"/>
      <c r="G329" s="11"/>
    </row>
    <row r="330" ht="14.25" customHeight="1">
      <c r="C330" s="11"/>
      <c r="F330" s="64"/>
      <c r="G330" s="11"/>
    </row>
    <row r="331" ht="14.25" customHeight="1">
      <c r="C331" s="11"/>
      <c r="F331" s="64"/>
      <c r="G331" s="11"/>
    </row>
    <row r="332" ht="14.25" customHeight="1">
      <c r="C332" s="11"/>
      <c r="F332" s="6"/>
      <c r="G332" s="11"/>
    </row>
    <row r="333" ht="14.25" customHeight="1">
      <c r="C333" s="11"/>
      <c r="F333" s="6"/>
      <c r="G333" s="11"/>
    </row>
    <row r="334" ht="14.25" customHeight="1">
      <c r="C334" s="11"/>
      <c r="F334" s="6"/>
      <c r="G334" s="11"/>
    </row>
    <row r="335" ht="14.25" customHeight="1">
      <c r="C335" s="11"/>
      <c r="F335" s="6"/>
      <c r="G335" s="11"/>
    </row>
    <row r="336" ht="14.25" customHeight="1">
      <c r="C336" s="11"/>
      <c r="F336" s="6"/>
      <c r="G336" s="11"/>
    </row>
    <row r="337" ht="14.25" customHeight="1">
      <c r="C337" s="11"/>
      <c r="F337" s="6"/>
      <c r="G337" s="11"/>
    </row>
    <row r="338" ht="14.25" customHeight="1">
      <c r="C338" s="11"/>
      <c r="F338" s="6"/>
      <c r="G338" s="11"/>
    </row>
    <row r="339" ht="14.25" customHeight="1">
      <c r="C339" s="11"/>
      <c r="F339" s="6"/>
      <c r="G339" s="11"/>
    </row>
    <row r="340" ht="14.25" customHeight="1">
      <c r="C340" s="11"/>
      <c r="F340" s="6"/>
      <c r="G340" s="11"/>
    </row>
    <row r="341" ht="14.25" customHeight="1">
      <c r="C341" s="11"/>
      <c r="F341" s="6"/>
      <c r="G341" s="11"/>
    </row>
    <row r="342" ht="14.25" customHeight="1">
      <c r="C342" s="11"/>
      <c r="F342" s="6"/>
      <c r="G342" s="11"/>
    </row>
    <row r="343" ht="14.25" customHeight="1">
      <c r="C343" s="11"/>
      <c r="F343" s="6"/>
      <c r="G343" s="11"/>
    </row>
    <row r="344" ht="14.25" customHeight="1">
      <c r="C344" s="11"/>
      <c r="F344" s="6"/>
      <c r="G344" s="11"/>
    </row>
    <row r="345" ht="14.25" customHeight="1">
      <c r="C345" s="11"/>
      <c r="F345" s="6"/>
      <c r="G345" s="11"/>
    </row>
    <row r="346" ht="14.25" customHeight="1">
      <c r="C346" s="11"/>
      <c r="F346" s="6"/>
      <c r="G346" s="11"/>
    </row>
    <row r="347" ht="14.25" customHeight="1">
      <c r="C347" s="11"/>
      <c r="F347" s="6"/>
      <c r="G347" s="11"/>
    </row>
    <row r="348" ht="14.25" customHeight="1">
      <c r="C348" s="11"/>
      <c r="F348" s="6"/>
      <c r="G348" s="11"/>
    </row>
    <row r="349" ht="14.25" customHeight="1">
      <c r="C349" s="11"/>
      <c r="F349" s="6"/>
      <c r="G349" s="11"/>
    </row>
    <row r="350" ht="14.25" customHeight="1">
      <c r="C350" s="11"/>
      <c r="F350" s="6"/>
      <c r="G350" s="11"/>
    </row>
    <row r="351" ht="14.25" customHeight="1">
      <c r="C351" s="11"/>
      <c r="F351" s="6"/>
      <c r="G351" s="11"/>
    </row>
    <row r="352" ht="14.25" customHeight="1">
      <c r="C352" s="11"/>
      <c r="F352" s="6"/>
      <c r="G352" s="11"/>
    </row>
    <row r="353" ht="14.25" customHeight="1">
      <c r="C353" s="11"/>
      <c r="F353" s="6"/>
      <c r="G353" s="11"/>
    </row>
    <row r="354" ht="14.25" customHeight="1">
      <c r="C354" s="11"/>
      <c r="F354" s="6"/>
      <c r="G354" s="11"/>
    </row>
    <row r="355" ht="14.25" customHeight="1">
      <c r="C355" s="11"/>
      <c r="F355" s="6"/>
      <c r="G355" s="11"/>
    </row>
    <row r="356" ht="14.25" customHeight="1">
      <c r="C356" s="11"/>
      <c r="F356" s="6"/>
      <c r="G356" s="11"/>
    </row>
    <row r="357" ht="14.25" customHeight="1">
      <c r="C357" s="11"/>
      <c r="F357" s="6"/>
      <c r="G357" s="11"/>
    </row>
    <row r="358" ht="14.25" customHeight="1">
      <c r="C358" s="11"/>
      <c r="F358" s="6"/>
      <c r="G358" s="11"/>
    </row>
    <row r="359" ht="14.25" customHeight="1">
      <c r="C359" s="11"/>
      <c r="F359" s="6"/>
      <c r="G359" s="11"/>
    </row>
    <row r="360" ht="14.25" customHeight="1">
      <c r="C360" s="11"/>
      <c r="F360" s="6"/>
      <c r="G360" s="11"/>
    </row>
    <row r="361" ht="14.25" customHeight="1">
      <c r="C361" s="11"/>
      <c r="F361" s="6"/>
      <c r="G361" s="11"/>
    </row>
    <row r="362" ht="14.25" customHeight="1">
      <c r="C362" s="11"/>
      <c r="F362" s="6"/>
      <c r="G362" s="11"/>
    </row>
    <row r="363" ht="14.25" customHeight="1">
      <c r="C363" s="11"/>
      <c r="F363" s="6"/>
      <c r="G363" s="11"/>
    </row>
    <row r="364" ht="14.25" customHeight="1">
      <c r="C364" s="11"/>
      <c r="F364" s="6"/>
      <c r="G364" s="11"/>
    </row>
    <row r="365" ht="14.25" customHeight="1">
      <c r="C365" s="11"/>
      <c r="F365" s="6"/>
      <c r="G365" s="11"/>
    </row>
    <row r="366" ht="14.25" customHeight="1">
      <c r="C366" s="11"/>
      <c r="F366" s="6"/>
      <c r="G366" s="11"/>
    </row>
    <row r="367" ht="14.25" customHeight="1">
      <c r="C367" s="11"/>
      <c r="F367" s="6"/>
      <c r="G367" s="11"/>
    </row>
    <row r="368" ht="14.25" customHeight="1">
      <c r="C368" s="11"/>
      <c r="F368" s="6"/>
      <c r="G368" s="11"/>
    </row>
    <row r="369" ht="14.25" customHeight="1">
      <c r="C369" s="11"/>
      <c r="F369" s="6"/>
      <c r="G369" s="11"/>
    </row>
    <row r="370" ht="14.25" customHeight="1">
      <c r="C370" s="11"/>
      <c r="F370" s="6"/>
      <c r="G370" s="11"/>
    </row>
    <row r="371" ht="14.25" customHeight="1">
      <c r="C371" s="11"/>
      <c r="F371" s="6"/>
      <c r="G371" s="11"/>
    </row>
    <row r="372" ht="14.25" customHeight="1">
      <c r="C372" s="11"/>
      <c r="F372" s="6"/>
      <c r="G372" s="11"/>
    </row>
    <row r="373" ht="14.25" customHeight="1">
      <c r="C373" s="11"/>
      <c r="F373" s="6"/>
      <c r="G373" s="11"/>
    </row>
    <row r="374" ht="14.25" customHeight="1">
      <c r="C374" s="11"/>
      <c r="F374" s="6"/>
      <c r="G374" s="11"/>
    </row>
    <row r="375" ht="14.25" customHeight="1">
      <c r="C375" s="11"/>
      <c r="F375" s="6"/>
      <c r="G375" s="11"/>
    </row>
    <row r="376" ht="14.25" customHeight="1">
      <c r="C376" s="11"/>
      <c r="F376" s="6"/>
      <c r="G376" s="11"/>
    </row>
    <row r="377" ht="14.25" customHeight="1">
      <c r="C377" s="11"/>
      <c r="F377" s="6"/>
      <c r="G377" s="11"/>
    </row>
    <row r="378" ht="14.25" customHeight="1">
      <c r="C378" s="11"/>
      <c r="F378" s="6"/>
      <c r="G378" s="11"/>
    </row>
    <row r="379" ht="14.25" customHeight="1">
      <c r="C379" s="11"/>
      <c r="F379" s="6"/>
      <c r="G379" s="11"/>
    </row>
    <row r="380" ht="14.25" customHeight="1">
      <c r="C380" s="11"/>
      <c r="F380" s="6"/>
      <c r="G380" s="11"/>
    </row>
    <row r="381" ht="14.25" customHeight="1">
      <c r="C381" s="11"/>
      <c r="F381" s="6"/>
      <c r="G381" s="11"/>
    </row>
    <row r="382" ht="14.25" customHeight="1">
      <c r="C382" s="11"/>
      <c r="F382" s="6"/>
      <c r="G382" s="11"/>
    </row>
    <row r="383" ht="14.25" customHeight="1">
      <c r="C383" s="11"/>
      <c r="F383" s="6"/>
      <c r="G383" s="11"/>
    </row>
    <row r="384" ht="14.25" customHeight="1">
      <c r="C384" s="11"/>
      <c r="F384" s="6"/>
      <c r="G384" s="11"/>
    </row>
    <row r="385" ht="14.25" customHeight="1">
      <c r="C385" s="11"/>
      <c r="F385" s="6"/>
      <c r="G385" s="11"/>
    </row>
    <row r="386" ht="14.25" customHeight="1">
      <c r="C386" s="11"/>
      <c r="F386" s="6"/>
      <c r="G386" s="11"/>
    </row>
    <row r="387" ht="14.25" customHeight="1">
      <c r="C387" s="11"/>
      <c r="F387" s="6"/>
      <c r="G387" s="11"/>
    </row>
    <row r="388" ht="14.25" customHeight="1">
      <c r="C388" s="11"/>
      <c r="F388" s="6"/>
      <c r="G388" s="11"/>
    </row>
    <row r="389" ht="14.25" customHeight="1">
      <c r="C389" s="11"/>
      <c r="F389" s="6"/>
      <c r="G389" s="11"/>
    </row>
    <row r="390" ht="14.25" customHeight="1">
      <c r="C390" s="11"/>
      <c r="F390" s="6"/>
      <c r="G390" s="11"/>
    </row>
    <row r="391" ht="14.25" customHeight="1">
      <c r="C391" s="11"/>
      <c r="F391" s="6"/>
      <c r="G391" s="11"/>
    </row>
    <row r="392" ht="14.25" customHeight="1">
      <c r="C392" s="11"/>
      <c r="F392" s="6"/>
      <c r="G392" s="11"/>
    </row>
    <row r="393" ht="14.25" customHeight="1">
      <c r="C393" s="11"/>
      <c r="F393" s="6"/>
      <c r="G393" s="11"/>
    </row>
    <row r="394" ht="14.25" customHeight="1">
      <c r="C394" s="11"/>
      <c r="F394" s="6"/>
      <c r="G394" s="11"/>
    </row>
    <row r="395" ht="14.25" customHeight="1">
      <c r="C395" s="11"/>
      <c r="F395" s="6"/>
      <c r="G395" s="11"/>
    </row>
    <row r="396" ht="14.25" customHeight="1">
      <c r="C396" s="11"/>
      <c r="F396" s="6"/>
      <c r="G396" s="11"/>
    </row>
    <row r="397" ht="14.25" customHeight="1">
      <c r="C397" s="11"/>
      <c r="F397" s="6"/>
      <c r="G397" s="11"/>
    </row>
    <row r="398" ht="14.25" customHeight="1">
      <c r="C398" s="11"/>
      <c r="F398" s="6"/>
      <c r="G398" s="11"/>
    </row>
    <row r="399" ht="14.25" customHeight="1">
      <c r="C399" s="11"/>
      <c r="F399" s="6"/>
      <c r="G399" s="11"/>
    </row>
    <row r="400" ht="14.25" customHeight="1">
      <c r="C400" s="11"/>
      <c r="F400" s="6"/>
      <c r="G400" s="11"/>
    </row>
    <row r="401" ht="14.25" customHeight="1">
      <c r="C401" s="11"/>
      <c r="F401" s="6"/>
      <c r="G401" s="11"/>
    </row>
    <row r="402" ht="14.25" customHeight="1">
      <c r="C402" s="11"/>
      <c r="F402" s="6"/>
      <c r="G402" s="11"/>
    </row>
    <row r="403" ht="14.25" customHeight="1">
      <c r="C403" s="11"/>
      <c r="F403" s="6"/>
      <c r="G403" s="11"/>
    </row>
    <row r="404" ht="14.25" customHeight="1">
      <c r="C404" s="11"/>
      <c r="F404" s="6"/>
      <c r="G404" s="11"/>
    </row>
    <row r="405" ht="14.25" customHeight="1">
      <c r="C405" s="11"/>
      <c r="F405" s="6"/>
      <c r="G405" s="11"/>
    </row>
    <row r="406" ht="14.25" customHeight="1">
      <c r="C406" s="11"/>
      <c r="F406" s="6"/>
      <c r="G406" s="11"/>
    </row>
    <row r="407" ht="14.25" customHeight="1">
      <c r="C407" s="11"/>
      <c r="F407" s="6"/>
      <c r="G407" s="11"/>
    </row>
    <row r="408" ht="14.25" customHeight="1">
      <c r="C408" s="11"/>
      <c r="F408" s="6"/>
      <c r="G408" s="11"/>
    </row>
    <row r="409" ht="14.25" customHeight="1">
      <c r="C409" s="11"/>
      <c r="F409" s="6"/>
      <c r="G409" s="11"/>
    </row>
    <row r="410" ht="14.25" customHeight="1">
      <c r="C410" s="11"/>
      <c r="F410" s="6"/>
      <c r="G410" s="11"/>
    </row>
    <row r="411" ht="14.25" customHeight="1">
      <c r="C411" s="11"/>
      <c r="F411" s="6"/>
      <c r="G411" s="11"/>
    </row>
    <row r="412" ht="14.25" customHeight="1">
      <c r="C412" s="11"/>
      <c r="F412" s="6"/>
      <c r="G412" s="11"/>
    </row>
    <row r="413" ht="14.25" customHeight="1">
      <c r="C413" s="11"/>
      <c r="F413" s="6"/>
      <c r="G413" s="11"/>
    </row>
    <row r="414" ht="14.25" customHeight="1">
      <c r="C414" s="11"/>
      <c r="F414" s="6"/>
      <c r="G414" s="11"/>
    </row>
    <row r="415" ht="14.25" customHeight="1">
      <c r="C415" s="11"/>
      <c r="F415" s="6"/>
      <c r="G415" s="11"/>
    </row>
    <row r="416" ht="14.25" customHeight="1">
      <c r="C416" s="11"/>
      <c r="F416" s="6"/>
      <c r="G416" s="11"/>
    </row>
    <row r="417" ht="14.25" customHeight="1">
      <c r="C417" s="11"/>
      <c r="F417" s="6"/>
      <c r="G417" s="11"/>
    </row>
    <row r="418" ht="14.25" customHeight="1">
      <c r="C418" s="11"/>
      <c r="F418" s="6"/>
      <c r="G418" s="11"/>
    </row>
    <row r="419" ht="14.25" customHeight="1">
      <c r="C419" s="11"/>
      <c r="F419" s="6"/>
      <c r="G419" s="11"/>
    </row>
    <row r="420" ht="14.25" customHeight="1">
      <c r="C420" s="11"/>
      <c r="F420" s="6"/>
      <c r="G420" s="11"/>
    </row>
    <row r="421" ht="14.25" customHeight="1">
      <c r="C421" s="11"/>
      <c r="F421" s="6"/>
      <c r="G421" s="11"/>
    </row>
    <row r="422" ht="14.25" customHeight="1">
      <c r="C422" s="11"/>
      <c r="F422" s="6"/>
      <c r="G422" s="11"/>
    </row>
    <row r="423" ht="14.25" customHeight="1">
      <c r="C423" s="11"/>
      <c r="F423" s="6"/>
      <c r="G423" s="11"/>
    </row>
    <row r="424" ht="14.25" customHeight="1">
      <c r="C424" s="11"/>
      <c r="F424" s="6"/>
      <c r="G424" s="11"/>
    </row>
    <row r="425" ht="14.25" customHeight="1">
      <c r="C425" s="11"/>
      <c r="F425" s="6"/>
      <c r="G425" s="11"/>
    </row>
    <row r="426" ht="14.25" customHeight="1">
      <c r="C426" s="11"/>
      <c r="F426" s="6"/>
      <c r="G426" s="11"/>
    </row>
    <row r="427" ht="14.25" customHeight="1">
      <c r="C427" s="11"/>
      <c r="F427" s="6"/>
      <c r="G427" s="11"/>
    </row>
    <row r="428" ht="14.25" customHeight="1">
      <c r="C428" s="11"/>
      <c r="F428" s="6"/>
      <c r="G428" s="11"/>
    </row>
    <row r="429" ht="14.25" customHeight="1">
      <c r="C429" s="11"/>
      <c r="F429" s="6"/>
      <c r="G429" s="11"/>
    </row>
    <row r="430" ht="14.25" customHeight="1">
      <c r="C430" s="11"/>
      <c r="F430" s="6"/>
      <c r="G430" s="11"/>
    </row>
    <row r="431" ht="14.25" customHeight="1">
      <c r="C431" s="11"/>
      <c r="F431" s="6"/>
      <c r="G431" s="11"/>
    </row>
    <row r="432" ht="14.25" customHeight="1">
      <c r="C432" s="11"/>
      <c r="F432" s="6"/>
      <c r="G432" s="11"/>
    </row>
    <row r="433" ht="14.25" customHeight="1">
      <c r="C433" s="11"/>
      <c r="F433" s="6"/>
      <c r="G433" s="11"/>
    </row>
    <row r="434" ht="14.25" customHeight="1">
      <c r="C434" s="11"/>
      <c r="F434" s="6"/>
      <c r="G434" s="11"/>
    </row>
    <row r="435" ht="14.25" customHeight="1">
      <c r="C435" s="11"/>
      <c r="F435" s="6"/>
      <c r="G435" s="11"/>
    </row>
    <row r="436" ht="14.25" customHeight="1">
      <c r="C436" s="11"/>
      <c r="F436" s="6"/>
      <c r="G436" s="11"/>
    </row>
    <row r="437" ht="14.25" customHeight="1">
      <c r="C437" s="11"/>
      <c r="F437" s="6"/>
      <c r="G437" s="11"/>
    </row>
    <row r="438" ht="14.25" customHeight="1">
      <c r="C438" s="11"/>
      <c r="F438" s="6"/>
      <c r="G438" s="11"/>
    </row>
    <row r="439" ht="14.25" customHeight="1">
      <c r="C439" s="11"/>
      <c r="F439" s="6"/>
      <c r="G439" s="11"/>
    </row>
    <row r="440" ht="14.25" customHeight="1">
      <c r="C440" s="11"/>
      <c r="F440" s="6"/>
      <c r="G440" s="11"/>
    </row>
    <row r="441" ht="14.25" customHeight="1">
      <c r="C441" s="11"/>
      <c r="F441" s="6"/>
      <c r="G441" s="11"/>
    </row>
    <row r="442" ht="14.25" customHeight="1">
      <c r="C442" s="11"/>
      <c r="F442" s="6"/>
      <c r="G442" s="11"/>
    </row>
    <row r="443" ht="14.25" customHeight="1">
      <c r="C443" s="11"/>
      <c r="F443" s="6"/>
      <c r="G443" s="11"/>
    </row>
    <row r="444" ht="14.25" customHeight="1">
      <c r="C444" s="11"/>
      <c r="F444" s="6"/>
      <c r="G444" s="11"/>
    </row>
    <row r="445" ht="14.25" customHeight="1">
      <c r="C445" s="11"/>
      <c r="F445" s="6"/>
      <c r="G445" s="11"/>
    </row>
    <row r="446" ht="14.25" customHeight="1">
      <c r="C446" s="11"/>
      <c r="F446" s="6"/>
      <c r="G446" s="11"/>
    </row>
    <row r="447" ht="14.25" customHeight="1">
      <c r="C447" s="11"/>
      <c r="F447" s="6"/>
      <c r="G447" s="11"/>
    </row>
    <row r="448" ht="14.25" customHeight="1">
      <c r="C448" s="11"/>
      <c r="F448" s="6"/>
      <c r="G448" s="11"/>
    </row>
    <row r="449" ht="14.25" customHeight="1">
      <c r="C449" s="11"/>
      <c r="F449" s="6"/>
      <c r="G449" s="11"/>
    </row>
    <row r="450" ht="14.25" customHeight="1">
      <c r="C450" s="11"/>
      <c r="F450" s="6"/>
      <c r="G450" s="11"/>
    </row>
    <row r="451" ht="14.25" customHeight="1">
      <c r="C451" s="11"/>
      <c r="F451" s="6"/>
      <c r="G451" s="11"/>
    </row>
    <row r="452" ht="14.25" customHeight="1">
      <c r="C452" s="11"/>
      <c r="F452" s="6"/>
      <c r="G452" s="11"/>
    </row>
    <row r="453" ht="14.25" customHeight="1">
      <c r="C453" s="11"/>
      <c r="F453" s="6"/>
      <c r="G453" s="11"/>
    </row>
    <row r="454" ht="14.25" customHeight="1">
      <c r="C454" s="11"/>
      <c r="F454" s="6"/>
      <c r="G454" s="11"/>
    </row>
    <row r="455" ht="14.25" customHeight="1">
      <c r="C455" s="11"/>
      <c r="F455" s="6"/>
      <c r="G455" s="11"/>
    </row>
    <row r="456" ht="14.25" customHeight="1">
      <c r="C456" s="11"/>
      <c r="F456" s="6"/>
      <c r="G456" s="11"/>
    </row>
    <row r="457" ht="14.25" customHeight="1">
      <c r="C457" s="11"/>
      <c r="F457" s="6"/>
      <c r="G457" s="11"/>
    </row>
    <row r="458" ht="14.25" customHeight="1">
      <c r="C458" s="11"/>
      <c r="F458" s="6"/>
      <c r="G458" s="11"/>
    </row>
    <row r="459" ht="14.25" customHeight="1">
      <c r="C459" s="11"/>
      <c r="F459" s="6"/>
      <c r="G459" s="11"/>
    </row>
    <row r="460" ht="14.25" customHeight="1">
      <c r="C460" s="11"/>
      <c r="F460" s="6"/>
      <c r="G460" s="11"/>
    </row>
    <row r="461" ht="14.25" customHeight="1">
      <c r="C461" s="11"/>
      <c r="F461" s="6"/>
      <c r="G461" s="11"/>
    </row>
    <row r="462" ht="14.25" customHeight="1">
      <c r="C462" s="11"/>
      <c r="F462" s="6"/>
      <c r="G462" s="11"/>
    </row>
    <row r="463" ht="14.25" customHeight="1">
      <c r="C463" s="11"/>
      <c r="F463" s="6"/>
      <c r="G463" s="11"/>
    </row>
    <row r="464" ht="14.25" customHeight="1">
      <c r="C464" s="11"/>
      <c r="F464" s="6"/>
      <c r="G464" s="11"/>
    </row>
    <row r="465" ht="14.25" customHeight="1">
      <c r="C465" s="11"/>
      <c r="F465" s="6"/>
      <c r="G465" s="11"/>
    </row>
    <row r="466" ht="14.25" customHeight="1">
      <c r="C466" s="11"/>
      <c r="F466" s="6"/>
      <c r="G466" s="11"/>
    </row>
    <row r="467" ht="14.25" customHeight="1">
      <c r="C467" s="11"/>
      <c r="F467" s="6"/>
      <c r="G467" s="11"/>
    </row>
    <row r="468" ht="14.25" customHeight="1">
      <c r="C468" s="11"/>
      <c r="F468" s="6"/>
      <c r="G468" s="11"/>
    </row>
    <row r="469" ht="14.25" customHeight="1">
      <c r="C469" s="11"/>
      <c r="F469" s="6"/>
      <c r="G469" s="11"/>
    </row>
    <row r="470" ht="14.25" customHeight="1">
      <c r="C470" s="11"/>
      <c r="F470" s="6"/>
      <c r="G470" s="11"/>
    </row>
    <row r="471" ht="14.25" customHeight="1">
      <c r="C471" s="11"/>
      <c r="F471" s="6"/>
      <c r="G471" s="11"/>
    </row>
    <row r="472" ht="14.25" customHeight="1">
      <c r="C472" s="11"/>
      <c r="F472" s="6"/>
      <c r="G472" s="11"/>
    </row>
    <row r="473" ht="14.25" customHeight="1">
      <c r="C473" s="11"/>
      <c r="F473" s="6"/>
      <c r="G473" s="11"/>
    </row>
    <row r="474" ht="14.25" customHeight="1">
      <c r="C474" s="11"/>
      <c r="F474" s="6"/>
      <c r="G474" s="11"/>
    </row>
    <row r="475" ht="14.25" customHeight="1">
      <c r="C475" s="11"/>
      <c r="F475" s="6"/>
      <c r="G475" s="11"/>
    </row>
    <row r="476" ht="14.25" customHeight="1">
      <c r="C476" s="11"/>
      <c r="F476" s="6"/>
      <c r="G476" s="11"/>
    </row>
    <row r="477" ht="14.25" customHeight="1">
      <c r="C477" s="11"/>
      <c r="F477" s="6"/>
      <c r="G477" s="11"/>
    </row>
    <row r="478" ht="14.25" customHeight="1">
      <c r="C478" s="11"/>
      <c r="F478" s="6"/>
      <c r="G478" s="11"/>
    </row>
    <row r="479" ht="14.25" customHeight="1">
      <c r="C479" s="11"/>
      <c r="F479" s="6"/>
      <c r="G479" s="11"/>
    </row>
    <row r="480" ht="14.25" customHeight="1">
      <c r="C480" s="11"/>
      <c r="F480" s="6"/>
      <c r="G480" s="11"/>
    </row>
    <row r="481" ht="14.25" customHeight="1">
      <c r="C481" s="11"/>
      <c r="F481" s="6"/>
      <c r="G481" s="11"/>
    </row>
    <row r="482" ht="14.25" customHeight="1">
      <c r="C482" s="11"/>
      <c r="F482" s="6"/>
      <c r="G482" s="11"/>
    </row>
    <row r="483" ht="14.25" customHeight="1">
      <c r="C483" s="11"/>
      <c r="F483" s="6"/>
      <c r="G483" s="11"/>
    </row>
    <row r="484" ht="14.25" customHeight="1">
      <c r="C484" s="11"/>
      <c r="F484" s="6"/>
      <c r="G484" s="11"/>
    </row>
    <row r="485" ht="14.25" customHeight="1">
      <c r="C485" s="11"/>
      <c r="F485" s="6"/>
      <c r="G485" s="11"/>
    </row>
    <row r="486" ht="14.25" customHeight="1">
      <c r="C486" s="11"/>
      <c r="F486" s="6"/>
      <c r="G486" s="11"/>
    </row>
    <row r="487" ht="14.25" customHeight="1">
      <c r="C487" s="11"/>
      <c r="F487" s="6"/>
      <c r="G487" s="11"/>
    </row>
    <row r="488" ht="14.25" customHeight="1">
      <c r="C488" s="11"/>
      <c r="F488" s="6"/>
      <c r="G488" s="11"/>
    </row>
    <row r="489" ht="14.25" customHeight="1">
      <c r="C489" s="11"/>
      <c r="F489" s="6"/>
      <c r="G489" s="11"/>
    </row>
    <row r="490" ht="14.25" customHeight="1">
      <c r="C490" s="11"/>
      <c r="F490" s="6"/>
      <c r="G490" s="11"/>
    </row>
    <row r="491" ht="14.25" customHeight="1">
      <c r="C491" s="11"/>
      <c r="F491" s="6"/>
      <c r="G491" s="11"/>
    </row>
    <row r="492" ht="14.25" customHeight="1">
      <c r="C492" s="11"/>
      <c r="F492" s="6"/>
      <c r="G492" s="11"/>
    </row>
    <row r="493" ht="14.25" customHeight="1">
      <c r="C493" s="11"/>
      <c r="F493" s="6"/>
      <c r="G493" s="11"/>
    </row>
    <row r="494" ht="14.25" customHeight="1">
      <c r="C494" s="11"/>
      <c r="F494" s="6"/>
      <c r="G494" s="11"/>
    </row>
    <row r="495" ht="14.25" customHeight="1">
      <c r="C495" s="11"/>
      <c r="F495" s="6"/>
      <c r="G495" s="11"/>
    </row>
    <row r="496" ht="14.25" customHeight="1">
      <c r="C496" s="11"/>
      <c r="F496" s="6"/>
      <c r="G496" s="11"/>
    </row>
    <row r="497" ht="14.25" customHeight="1">
      <c r="C497" s="11"/>
      <c r="F497" s="6"/>
      <c r="G497" s="11"/>
    </row>
    <row r="498" ht="14.25" customHeight="1">
      <c r="C498" s="11"/>
      <c r="F498" s="6"/>
      <c r="G498" s="11"/>
    </row>
    <row r="499" ht="14.25" customHeight="1">
      <c r="C499" s="11"/>
      <c r="F499" s="6"/>
      <c r="G499" s="11"/>
    </row>
    <row r="500" ht="14.25" customHeight="1">
      <c r="C500" s="11"/>
      <c r="F500" s="6"/>
      <c r="G500" s="11"/>
    </row>
    <row r="501" ht="14.25" customHeight="1">
      <c r="C501" s="11"/>
      <c r="F501" s="6"/>
      <c r="G501" s="11"/>
    </row>
    <row r="502" ht="14.25" customHeight="1">
      <c r="C502" s="11"/>
      <c r="F502" s="6"/>
      <c r="G502" s="11"/>
    </row>
    <row r="503" ht="14.25" customHeight="1">
      <c r="C503" s="11"/>
      <c r="F503" s="6"/>
      <c r="G503" s="11"/>
    </row>
    <row r="504" ht="14.25" customHeight="1">
      <c r="C504" s="11"/>
      <c r="F504" s="6"/>
      <c r="G504" s="11"/>
    </row>
    <row r="505" ht="14.25" customHeight="1">
      <c r="C505" s="11"/>
      <c r="F505" s="6"/>
      <c r="G505" s="11"/>
    </row>
    <row r="506" ht="14.25" customHeight="1">
      <c r="C506" s="11"/>
      <c r="F506" s="6"/>
      <c r="G506" s="11"/>
    </row>
    <row r="507" ht="14.25" customHeight="1">
      <c r="C507" s="11"/>
      <c r="F507" s="6"/>
      <c r="G507" s="11"/>
    </row>
    <row r="508" ht="14.25" customHeight="1">
      <c r="C508" s="11"/>
      <c r="F508" s="6"/>
      <c r="G508" s="11"/>
    </row>
    <row r="509" ht="14.25" customHeight="1">
      <c r="C509" s="11"/>
      <c r="F509" s="6"/>
      <c r="G509" s="11"/>
    </row>
    <row r="510" ht="14.25" customHeight="1">
      <c r="C510" s="11"/>
      <c r="F510" s="6"/>
      <c r="G510" s="11"/>
    </row>
    <row r="511" ht="14.25" customHeight="1">
      <c r="C511" s="11"/>
      <c r="F511" s="6"/>
      <c r="G511" s="11"/>
    </row>
    <row r="512" ht="14.25" customHeight="1">
      <c r="C512" s="11"/>
      <c r="F512" s="6"/>
      <c r="G512" s="11"/>
    </row>
    <row r="513" ht="14.25" customHeight="1">
      <c r="C513" s="11"/>
      <c r="F513" s="6"/>
      <c r="G513" s="11"/>
    </row>
    <row r="514" ht="14.25" customHeight="1">
      <c r="C514" s="11"/>
      <c r="F514" s="6"/>
      <c r="G514" s="11"/>
    </row>
    <row r="515" ht="14.25" customHeight="1">
      <c r="C515" s="11"/>
      <c r="F515" s="6"/>
      <c r="G515" s="11"/>
    </row>
    <row r="516" ht="14.25" customHeight="1">
      <c r="C516" s="11"/>
      <c r="F516" s="6"/>
      <c r="G516" s="11"/>
    </row>
    <row r="517" ht="14.25" customHeight="1">
      <c r="C517" s="11"/>
      <c r="F517" s="6"/>
      <c r="G517" s="11"/>
    </row>
    <row r="518" ht="14.25" customHeight="1">
      <c r="C518" s="11"/>
      <c r="F518" s="6"/>
      <c r="G518" s="11"/>
    </row>
    <row r="519" ht="14.25" customHeight="1">
      <c r="C519" s="11"/>
      <c r="F519" s="6"/>
      <c r="G519" s="11"/>
    </row>
    <row r="520" ht="14.25" customHeight="1">
      <c r="C520" s="11"/>
      <c r="F520" s="6"/>
      <c r="G520" s="11"/>
    </row>
    <row r="521" ht="14.25" customHeight="1">
      <c r="C521" s="11"/>
      <c r="F521" s="6"/>
      <c r="G521" s="11"/>
    </row>
    <row r="522" ht="14.25" customHeight="1">
      <c r="C522" s="11"/>
      <c r="F522" s="6"/>
      <c r="G522" s="11"/>
    </row>
    <row r="523" ht="14.25" customHeight="1">
      <c r="C523" s="11"/>
      <c r="F523" s="6"/>
      <c r="G523" s="11"/>
    </row>
    <row r="524" ht="14.25" customHeight="1">
      <c r="C524" s="11"/>
      <c r="F524" s="6"/>
      <c r="G524" s="11"/>
    </row>
    <row r="525" ht="14.25" customHeight="1">
      <c r="C525" s="11"/>
      <c r="F525" s="6"/>
      <c r="G525" s="11"/>
    </row>
    <row r="526" ht="14.25" customHeight="1">
      <c r="C526" s="11"/>
      <c r="F526" s="6"/>
      <c r="G526" s="11"/>
    </row>
    <row r="527" ht="14.25" customHeight="1">
      <c r="C527" s="11"/>
      <c r="F527" s="6"/>
      <c r="G527" s="11"/>
    </row>
    <row r="528" ht="14.25" customHeight="1">
      <c r="C528" s="11"/>
      <c r="F528" s="6"/>
      <c r="G528" s="11"/>
    </row>
    <row r="529" ht="14.25" customHeight="1">
      <c r="C529" s="11"/>
      <c r="F529" s="6"/>
      <c r="G529" s="11"/>
    </row>
    <row r="530" ht="14.25" customHeight="1">
      <c r="C530" s="11"/>
      <c r="F530" s="6"/>
      <c r="G530" s="11"/>
    </row>
    <row r="531" ht="14.25" customHeight="1">
      <c r="C531" s="11"/>
      <c r="F531" s="6"/>
      <c r="G531" s="11"/>
    </row>
    <row r="532" ht="14.25" customHeight="1">
      <c r="C532" s="11"/>
      <c r="F532" s="6"/>
      <c r="G532" s="11"/>
    </row>
    <row r="533" ht="14.25" customHeight="1">
      <c r="C533" s="11"/>
      <c r="F533" s="6"/>
      <c r="G533" s="11"/>
    </row>
    <row r="534" ht="14.25" customHeight="1">
      <c r="C534" s="11"/>
      <c r="F534" s="6"/>
      <c r="G534" s="11"/>
    </row>
    <row r="535" ht="14.25" customHeight="1">
      <c r="C535" s="11"/>
      <c r="F535" s="6"/>
      <c r="G535" s="11"/>
    </row>
    <row r="536" ht="14.25" customHeight="1">
      <c r="C536" s="11"/>
      <c r="F536" s="6"/>
      <c r="G536" s="11"/>
    </row>
    <row r="537" ht="14.25" customHeight="1">
      <c r="C537" s="11"/>
      <c r="F537" s="6"/>
      <c r="G537" s="11"/>
    </row>
    <row r="538" ht="14.25" customHeight="1">
      <c r="C538" s="11"/>
      <c r="F538" s="6"/>
      <c r="G538" s="11"/>
    </row>
    <row r="539" ht="14.25" customHeight="1">
      <c r="C539" s="11"/>
      <c r="F539" s="6"/>
      <c r="G539" s="11"/>
    </row>
    <row r="540" ht="14.25" customHeight="1">
      <c r="C540" s="11"/>
      <c r="F540" s="6"/>
      <c r="G540" s="11"/>
    </row>
    <row r="541" ht="14.25" customHeight="1">
      <c r="C541" s="11"/>
      <c r="F541" s="6"/>
      <c r="G541" s="11"/>
    </row>
    <row r="542" ht="14.25" customHeight="1">
      <c r="C542" s="11"/>
      <c r="F542" s="6"/>
      <c r="G542" s="11"/>
    </row>
    <row r="543" ht="14.25" customHeight="1">
      <c r="C543" s="11"/>
      <c r="F543" s="6"/>
      <c r="G543" s="11"/>
    </row>
    <row r="544" ht="14.25" customHeight="1">
      <c r="C544" s="11"/>
      <c r="F544" s="6"/>
      <c r="G544" s="11"/>
    </row>
    <row r="545" ht="14.25" customHeight="1">
      <c r="C545" s="11"/>
      <c r="F545" s="6"/>
      <c r="G545" s="11"/>
    </row>
    <row r="546" ht="14.25" customHeight="1">
      <c r="C546" s="11"/>
      <c r="F546" s="6"/>
      <c r="G546" s="11"/>
    </row>
    <row r="547" ht="14.25" customHeight="1">
      <c r="C547" s="11"/>
      <c r="F547" s="6"/>
      <c r="G547" s="11"/>
    </row>
    <row r="548" ht="14.25" customHeight="1">
      <c r="C548" s="11"/>
      <c r="F548" s="6"/>
      <c r="G548" s="11"/>
    </row>
    <row r="549" ht="14.25" customHeight="1">
      <c r="C549" s="11"/>
      <c r="F549" s="6"/>
      <c r="G549" s="11"/>
    </row>
    <row r="550" ht="14.25" customHeight="1">
      <c r="C550" s="11"/>
      <c r="F550" s="6"/>
      <c r="G550" s="11"/>
    </row>
    <row r="551" ht="14.25" customHeight="1">
      <c r="C551" s="11"/>
      <c r="F551" s="6"/>
      <c r="G551" s="11"/>
    </row>
    <row r="552" ht="14.25" customHeight="1">
      <c r="C552" s="11"/>
      <c r="F552" s="6"/>
      <c r="G552" s="11"/>
    </row>
    <row r="553" ht="14.25" customHeight="1">
      <c r="C553" s="11"/>
      <c r="F553" s="6"/>
      <c r="G553" s="11"/>
    </row>
    <row r="554" ht="14.25" customHeight="1">
      <c r="C554" s="11"/>
      <c r="F554" s="6"/>
      <c r="G554" s="11"/>
    </row>
    <row r="555" ht="14.25" customHeight="1">
      <c r="C555" s="11"/>
      <c r="F555" s="6"/>
      <c r="G555" s="11"/>
    </row>
    <row r="556" ht="14.25" customHeight="1">
      <c r="C556" s="11"/>
      <c r="F556" s="6"/>
      <c r="G556" s="11"/>
    </row>
    <row r="557" ht="14.25" customHeight="1">
      <c r="C557" s="11"/>
      <c r="F557" s="6"/>
      <c r="G557" s="11"/>
    </row>
    <row r="558" ht="14.25" customHeight="1">
      <c r="C558" s="11"/>
      <c r="F558" s="6"/>
      <c r="G558" s="11"/>
    </row>
    <row r="559" ht="14.25" customHeight="1">
      <c r="C559" s="11"/>
      <c r="F559" s="6"/>
      <c r="G559" s="11"/>
    </row>
    <row r="560" ht="14.25" customHeight="1">
      <c r="C560" s="11"/>
      <c r="F560" s="6"/>
      <c r="G560" s="11"/>
    </row>
    <row r="561" ht="14.25" customHeight="1">
      <c r="C561" s="11"/>
      <c r="F561" s="6"/>
      <c r="G561" s="11"/>
    </row>
    <row r="562" ht="14.25" customHeight="1">
      <c r="C562" s="11"/>
      <c r="F562" s="6"/>
      <c r="G562" s="11"/>
    </row>
    <row r="563" ht="14.25" customHeight="1">
      <c r="C563" s="11"/>
      <c r="F563" s="6"/>
      <c r="G563" s="11"/>
    </row>
    <row r="564" ht="14.25" customHeight="1">
      <c r="C564" s="11"/>
      <c r="F564" s="6"/>
      <c r="G564" s="11"/>
    </row>
    <row r="565" ht="14.25" customHeight="1">
      <c r="C565" s="11"/>
      <c r="F565" s="6"/>
      <c r="G565" s="11"/>
    </row>
    <row r="566" ht="14.25" customHeight="1">
      <c r="C566" s="11"/>
      <c r="F566" s="6"/>
      <c r="G566" s="11"/>
    </row>
    <row r="567" ht="14.25" customHeight="1">
      <c r="C567" s="11"/>
      <c r="F567" s="6"/>
      <c r="G567" s="11"/>
    </row>
    <row r="568" ht="14.25" customHeight="1">
      <c r="C568" s="11"/>
      <c r="F568" s="6"/>
      <c r="G568" s="11"/>
    </row>
    <row r="569" ht="14.25" customHeight="1">
      <c r="C569" s="11"/>
      <c r="F569" s="6"/>
      <c r="G569" s="11"/>
    </row>
    <row r="570" ht="14.25" customHeight="1">
      <c r="C570" s="11"/>
      <c r="F570" s="6"/>
      <c r="G570" s="11"/>
    </row>
    <row r="571" ht="14.25" customHeight="1">
      <c r="C571" s="11"/>
      <c r="F571" s="6"/>
      <c r="G571" s="11"/>
    </row>
    <row r="572" ht="14.25" customHeight="1">
      <c r="C572" s="11"/>
      <c r="F572" s="6"/>
      <c r="G572" s="11"/>
    </row>
    <row r="573" ht="14.25" customHeight="1">
      <c r="C573" s="11"/>
      <c r="F573" s="6"/>
      <c r="G573" s="11"/>
    </row>
    <row r="574" ht="14.25" customHeight="1">
      <c r="C574" s="11"/>
      <c r="F574" s="6"/>
      <c r="G574" s="11"/>
    </row>
    <row r="575" ht="14.25" customHeight="1">
      <c r="C575" s="11"/>
      <c r="F575" s="6"/>
      <c r="G575" s="11"/>
    </row>
    <row r="576" ht="14.25" customHeight="1">
      <c r="C576" s="11"/>
      <c r="F576" s="6"/>
      <c r="G576" s="11"/>
    </row>
    <row r="577" ht="14.25" customHeight="1">
      <c r="C577" s="11"/>
      <c r="F577" s="6"/>
      <c r="G577" s="11"/>
    </row>
    <row r="578" ht="14.25" customHeight="1">
      <c r="C578" s="11"/>
      <c r="F578" s="6"/>
      <c r="G578" s="11"/>
    </row>
    <row r="579" ht="14.25" customHeight="1">
      <c r="C579" s="11"/>
      <c r="F579" s="6"/>
      <c r="G579" s="11"/>
    </row>
    <row r="580" ht="14.25" customHeight="1">
      <c r="C580" s="11"/>
      <c r="F580" s="6"/>
      <c r="G580" s="11"/>
    </row>
    <row r="581" ht="14.25" customHeight="1">
      <c r="C581" s="11"/>
      <c r="F581" s="6"/>
      <c r="G581" s="11"/>
    </row>
    <row r="582" ht="14.25" customHeight="1">
      <c r="C582" s="11"/>
      <c r="F582" s="6"/>
      <c r="G582" s="11"/>
    </row>
    <row r="583" ht="14.25" customHeight="1">
      <c r="C583" s="11"/>
      <c r="F583" s="6"/>
      <c r="G583" s="11"/>
    </row>
    <row r="584" ht="14.25" customHeight="1">
      <c r="C584" s="11"/>
      <c r="F584" s="6"/>
      <c r="G584" s="11"/>
    </row>
    <row r="585" ht="14.25" customHeight="1">
      <c r="C585" s="11"/>
      <c r="F585" s="6"/>
      <c r="G585" s="11"/>
    </row>
    <row r="586" ht="14.25" customHeight="1">
      <c r="C586" s="11"/>
      <c r="F586" s="6"/>
      <c r="G586" s="11"/>
    </row>
    <row r="587" ht="14.25" customHeight="1">
      <c r="C587" s="11"/>
      <c r="F587" s="6"/>
      <c r="G587" s="11"/>
    </row>
    <row r="588" ht="14.25" customHeight="1">
      <c r="C588" s="11"/>
      <c r="F588" s="6"/>
      <c r="G588" s="11"/>
    </row>
    <row r="589" ht="14.25" customHeight="1">
      <c r="C589" s="11"/>
      <c r="F589" s="6"/>
      <c r="G589" s="11"/>
    </row>
    <row r="590" ht="14.25" customHeight="1">
      <c r="C590" s="11"/>
      <c r="F590" s="6"/>
      <c r="G590" s="11"/>
    </row>
    <row r="591" ht="14.25" customHeight="1">
      <c r="C591" s="11"/>
      <c r="F591" s="6"/>
      <c r="G591" s="11"/>
    </row>
    <row r="592" ht="14.25" customHeight="1">
      <c r="C592" s="11"/>
      <c r="F592" s="6"/>
      <c r="G592" s="11"/>
    </row>
    <row r="593" ht="14.25" customHeight="1">
      <c r="C593" s="11"/>
      <c r="F593" s="6"/>
      <c r="G593" s="11"/>
    </row>
    <row r="594" ht="14.25" customHeight="1">
      <c r="C594" s="11"/>
      <c r="F594" s="6"/>
      <c r="G594" s="11"/>
    </row>
    <row r="595" ht="14.25" customHeight="1">
      <c r="C595" s="11"/>
      <c r="F595" s="6"/>
      <c r="G595" s="11"/>
    </row>
    <row r="596" ht="14.25" customHeight="1">
      <c r="C596" s="11"/>
      <c r="F596" s="6"/>
      <c r="G596" s="11"/>
    </row>
    <row r="597" ht="14.25" customHeight="1">
      <c r="C597" s="11"/>
      <c r="F597" s="6"/>
      <c r="G597" s="11"/>
    </row>
    <row r="598" ht="14.25" customHeight="1">
      <c r="C598" s="11"/>
      <c r="F598" s="6"/>
      <c r="G598" s="11"/>
    </row>
    <row r="599" ht="14.25" customHeight="1">
      <c r="C599" s="11"/>
      <c r="F599" s="6"/>
      <c r="G599" s="11"/>
    </row>
    <row r="600" ht="14.25" customHeight="1">
      <c r="C600" s="11"/>
      <c r="F600" s="6"/>
      <c r="G600" s="11"/>
    </row>
    <row r="601" ht="14.25" customHeight="1">
      <c r="C601" s="11"/>
      <c r="F601" s="6"/>
      <c r="G601" s="11"/>
    </row>
    <row r="602" ht="14.25" customHeight="1">
      <c r="C602" s="11"/>
      <c r="F602" s="6"/>
      <c r="G602" s="11"/>
    </row>
    <row r="603" ht="14.25" customHeight="1">
      <c r="C603" s="11"/>
      <c r="F603" s="6"/>
      <c r="G603" s="11"/>
    </row>
    <row r="604" ht="14.25" customHeight="1">
      <c r="C604" s="11"/>
      <c r="F604" s="6"/>
      <c r="G604" s="11"/>
    </row>
    <row r="605" ht="14.25" customHeight="1">
      <c r="C605" s="11"/>
      <c r="F605" s="6"/>
      <c r="G605" s="11"/>
    </row>
    <row r="606" ht="14.25" customHeight="1">
      <c r="C606" s="11"/>
      <c r="F606" s="6"/>
      <c r="G606" s="11"/>
    </row>
    <row r="607" ht="14.25" customHeight="1">
      <c r="C607" s="11"/>
      <c r="F607" s="6"/>
      <c r="G607" s="11"/>
    </row>
    <row r="608" ht="14.25" customHeight="1">
      <c r="C608" s="11"/>
      <c r="F608" s="6"/>
      <c r="G608" s="11"/>
    </row>
    <row r="609" ht="14.25" customHeight="1">
      <c r="C609" s="11"/>
      <c r="F609" s="6"/>
      <c r="G609" s="11"/>
    </row>
    <row r="610" ht="14.25" customHeight="1">
      <c r="C610" s="11"/>
      <c r="F610" s="6"/>
      <c r="G610" s="11"/>
    </row>
    <row r="611" ht="14.25" customHeight="1">
      <c r="C611" s="11"/>
      <c r="F611" s="6"/>
      <c r="G611" s="11"/>
    </row>
    <row r="612" ht="14.25" customHeight="1">
      <c r="C612" s="11"/>
      <c r="F612" s="6"/>
      <c r="G612" s="11"/>
    </row>
    <row r="613" ht="14.25" customHeight="1">
      <c r="C613" s="11"/>
      <c r="F613" s="6"/>
      <c r="G613" s="11"/>
    </row>
    <row r="614" ht="14.25" customHeight="1">
      <c r="C614" s="11"/>
      <c r="F614" s="6"/>
      <c r="G614" s="11"/>
    </row>
    <row r="615" ht="14.25" customHeight="1">
      <c r="C615" s="11"/>
      <c r="F615" s="6"/>
      <c r="G615" s="11"/>
    </row>
    <row r="616" ht="14.25" customHeight="1">
      <c r="C616" s="11"/>
      <c r="F616" s="6"/>
      <c r="G616" s="11"/>
    </row>
    <row r="617" ht="14.25" customHeight="1">
      <c r="C617" s="11"/>
      <c r="F617" s="6"/>
      <c r="G617" s="11"/>
    </row>
    <row r="618" ht="14.25" customHeight="1">
      <c r="C618" s="11"/>
      <c r="F618" s="6"/>
      <c r="G618" s="11"/>
    </row>
    <row r="619" ht="14.25" customHeight="1">
      <c r="C619" s="11"/>
      <c r="F619" s="6"/>
      <c r="G619" s="11"/>
    </row>
    <row r="620" ht="14.25" customHeight="1">
      <c r="C620" s="11"/>
      <c r="F620" s="6"/>
      <c r="G620" s="11"/>
    </row>
    <row r="621" ht="14.25" customHeight="1">
      <c r="C621" s="11"/>
      <c r="F621" s="6"/>
      <c r="G621" s="11"/>
    </row>
    <row r="622" ht="14.25" customHeight="1">
      <c r="C622" s="11"/>
      <c r="F622" s="6"/>
      <c r="G622" s="11"/>
    </row>
    <row r="623" ht="14.25" customHeight="1">
      <c r="C623" s="11"/>
      <c r="F623" s="6"/>
      <c r="G623" s="11"/>
    </row>
    <row r="624" ht="14.25" customHeight="1">
      <c r="C624" s="11"/>
      <c r="F624" s="6"/>
      <c r="G624" s="11"/>
    </row>
    <row r="625" ht="14.25" customHeight="1">
      <c r="C625" s="11"/>
      <c r="F625" s="6"/>
      <c r="G625" s="11"/>
    </row>
    <row r="626" ht="14.25" customHeight="1">
      <c r="C626" s="11"/>
      <c r="F626" s="6"/>
      <c r="G626" s="11"/>
    </row>
    <row r="627" ht="14.25" customHeight="1">
      <c r="C627" s="11"/>
      <c r="F627" s="6"/>
      <c r="G627" s="11"/>
    </row>
    <row r="628" ht="14.25" customHeight="1">
      <c r="C628" s="11"/>
      <c r="F628" s="6"/>
      <c r="G628" s="11"/>
    </row>
    <row r="629" ht="14.25" customHeight="1">
      <c r="C629" s="11"/>
      <c r="F629" s="6"/>
      <c r="G629" s="11"/>
    </row>
    <row r="630" ht="14.25" customHeight="1">
      <c r="C630" s="11"/>
      <c r="F630" s="6"/>
      <c r="G630" s="11"/>
    </row>
    <row r="631" ht="14.25" customHeight="1">
      <c r="C631" s="11"/>
      <c r="F631" s="6"/>
      <c r="G631" s="11"/>
    </row>
    <row r="632" ht="14.25" customHeight="1">
      <c r="C632" s="11"/>
      <c r="F632" s="6"/>
      <c r="G632" s="11"/>
    </row>
    <row r="633" ht="14.25" customHeight="1">
      <c r="C633" s="11"/>
      <c r="F633" s="6"/>
      <c r="G633" s="11"/>
    </row>
    <row r="634" ht="14.25" customHeight="1">
      <c r="C634" s="11"/>
      <c r="F634" s="6"/>
      <c r="G634" s="11"/>
    </row>
    <row r="635" ht="14.25" customHeight="1">
      <c r="C635" s="11"/>
      <c r="F635" s="6"/>
      <c r="G635" s="11"/>
    </row>
    <row r="636" ht="14.25" customHeight="1">
      <c r="C636" s="11"/>
      <c r="F636" s="6"/>
      <c r="G636" s="11"/>
    </row>
    <row r="637" ht="14.25" customHeight="1">
      <c r="C637" s="11"/>
      <c r="F637" s="6"/>
      <c r="G637" s="11"/>
    </row>
    <row r="638" ht="14.25" customHeight="1">
      <c r="C638" s="11"/>
      <c r="F638" s="6"/>
      <c r="G638" s="11"/>
    </row>
    <row r="639" ht="14.25" customHeight="1">
      <c r="C639" s="11"/>
      <c r="F639" s="6"/>
      <c r="G639" s="11"/>
    </row>
    <row r="640" ht="14.25" customHeight="1">
      <c r="C640" s="11"/>
      <c r="F640" s="6"/>
      <c r="G640" s="11"/>
    </row>
    <row r="641" ht="14.25" customHeight="1">
      <c r="C641" s="11"/>
      <c r="F641" s="6"/>
      <c r="G641" s="11"/>
    </row>
    <row r="642" ht="14.25" customHeight="1">
      <c r="C642" s="11"/>
      <c r="F642" s="6"/>
      <c r="G642" s="11"/>
    </row>
    <row r="643" ht="14.25" customHeight="1">
      <c r="C643" s="11"/>
      <c r="F643" s="6"/>
      <c r="G643" s="11"/>
    </row>
    <row r="644" ht="14.25" customHeight="1">
      <c r="C644" s="11"/>
      <c r="F644" s="6"/>
      <c r="G644" s="11"/>
    </row>
    <row r="645" ht="14.25" customHeight="1">
      <c r="C645" s="11"/>
      <c r="F645" s="6"/>
      <c r="G645" s="11"/>
    </row>
    <row r="646" ht="14.25" customHeight="1">
      <c r="C646" s="11"/>
      <c r="F646" s="6"/>
      <c r="G646" s="11"/>
    </row>
    <row r="647" ht="14.25" customHeight="1">
      <c r="C647" s="11"/>
      <c r="F647" s="6"/>
      <c r="G647" s="11"/>
    </row>
    <row r="648" ht="14.25" customHeight="1">
      <c r="C648" s="11"/>
      <c r="F648" s="6"/>
      <c r="G648" s="11"/>
    </row>
    <row r="649" ht="14.25" customHeight="1">
      <c r="C649" s="11"/>
      <c r="F649" s="6"/>
      <c r="G649" s="11"/>
    </row>
    <row r="650" ht="14.25" customHeight="1">
      <c r="C650" s="11"/>
      <c r="F650" s="6"/>
      <c r="G650" s="11"/>
    </row>
    <row r="651" ht="14.25" customHeight="1">
      <c r="C651" s="11"/>
      <c r="F651" s="6"/>
      <c r="G651" s="11"/>
    </row>
    <row r="652" ht="14.25" customHeight="1">
      <c r="C652" s="11"/>
      <c r="F652" s="6"/>
      <c r="G652" s="11"/>
    </row>
    <row r="653" ht="14.25" customHeight="1">
      <c r="C653" s="11"/>
      <c r="F653" s="6"/>
      <c r="G653" s="11"/>
    </row>
    <row r="654" ht="14.25" customHeight="1">
      <c r="C654" s="11"/>
      <c r="F654" s="6"/>
      <c r="G654" s="11"/>
    </row>
    <row r="655" ht="14.25" customHeight="1">
      <c r="C655" s="11"/>
      <c r="F655" s="6"/>
      <c r="G655" s="11"/>
    </row>
    <row r="656" ht="14.25" customHeight="1">
      <c r="C656" s="11"/>
      <c r="F656" s="6"/>
      <c r="G656" s="11"/>
    </row>
    <row r="657" ht="14.25" customHeight="1">
      <c r="C657" s="11"/>
      <c r="F657" s="6"/>
      <c r="G657" s="11"/>
    </row>
    <row r="658" ht="14.25" customHeight="1">
      <c r="C658" s="11"/>
      <c r="F658" s="6"/>
      <c r="G658" s="11"/>
    </row>
    <row r="659" ht="14.25" customHeight="1">
      <c r="C659" s="11"/>
      <c r="F659" s="6"/>
      <c r="G659" s="11"/>
    </row>
    <row r="660" ht="14.25" customHeight="1">
      <c r="C660" s="11"/>
      <c r="F660" s="6"/>
      <c r="G660" s="11"/>
    </row>
    <row r="661" ht="14.25" customHeight="1">
      <c r="C661" s="11"/>
      <c r="F661" s="6"/>
      <c r="G661" s="11"/>
    </row>
    <row r="662" ht="14.25" customHeight="1">
      <c r="C662" s="11"/>
      <c r="F662" s="6"/>
      <c r="G662" s="11"/>
    </row>
    <row r="663" ht="14.25" customHeight="1">
      <c r="C663" s="11"/>
      <c r="F663" s="6"/>
      <c r="G663" s="11"/>
    </row>
    <row r="664" ht="14.25" customHeight="1">
      <c r="C664" s="11"/>
      <c r="F664" s="6"/>
      <c r="G664" s="11"/>
    </row>
    <row r="665" ht="14.25" customHeight="1">
      <c r="C665" s="11"/>
      <c r="F665" s="6"/>
      <c r="G665" s="11"/>
    </row>
    <row r="666" ht="14.25" customHeight="1">
      <c r="C666" s="11"/>
      <c r="F666" s="6"/>
      <c r="G666" s="11"/>
    </row>
    <row r="667" ht="14.25" customHeight="1">
      <c r="C667" s="11"/>
      <c r="F667" s="6"/>
      <c r="G667" s="11"/>
    </row>
    <row r="668" ht="14.25" customHeight="1">
      <c r="C668" s="11"/>
      <c r="F668" s="6"/>
      <c r="G668" s="11"/>
    </row>
    <row r="669" ht="14.25" customHeight="1">
      <c r="C669" s="11"/>
      <c r="F669" s="6"/>
      <c r="G669" s="11"/>
    </row>
    <row r="670" ht="14.25" customHeight="1">
      <c r="C670" s="11"/>
      <c r="F670" s="6"/>
      <c r="G670" s="11"/>
    </row>
    <row r="671" ht="14.25" customHeight="1">
      <c r="C671" s="11"/>
      <c r="F671" s="6"/>
      <c r="G671" s="11"/>
    </row>
    <row r="672" ht="14.25" customHeight="1">
      <c r="C672" s="11"/>
      <c r="F672" s="6"/>
      <c r="G672" s="11"/>
    </row>
    <row r="673" ht="14.25" customHeight="1">
      <c r="C673" s="11"/>
      <c r="F673" s="6"/>
      <c r="G673" s="11"/>
    </row>
    <row r="674" ht="14.25" customHeight="1">
      <c r="C674" s="11"/>
      <c r="F674" s="6"/>
      <c r="G674" s="11"/>
    </row>
    <row r="675" ht="14.25" customHeight="1">
      <c r="C675" s="11"/>
      <c r="F675" s="6"/>
      <c r="G675" s="11"/>
    </row>
    <row r="676" ht="14.25" customHeight="1">
      <c r="C676" s="11"/>
      <c r="F676" s="6"/>
      <c r="G676" s="11"/>
    </row>
    <row r="677" ht="14.25" customHeight="1">
      <c r="C677" s="11"/>
      <c r="F677" s="6"/>
      <c r="G677" s="11"/>
    </row>
    <row r="678" ht="14.25" customHeight="1">
      <c r="C678" s="11"/>
      <c r="F678" s="6"/>
      <c r="G678" s="11"/>
    </row>
    <row r="679" ht="14.25" customHeight="1">
      <c r="C679" s="11"/>
      <c r="F679" s="6"/>
      <c r="G679" s="11"/>
    </row>
    <row r="680" ht="14.25" customHeight="1">
      <c r="C680" s="11"/>
      <c r="F680" s="6"/>
      <c r="G680" s="11"/>
    </row>
    <row r="681" ht="14.25" customHeight="1">
      <c r="C681" s="11"/>
      <c r="F681" s="6"/>
      <c r="G681" s="11"/>
    </row>
    <row r="682" ht="14.25" customHeight="1">
      <c r="C682" s="11"/>
      <c r="F682" s="6"/>
      <c r="G682" s="11"/>
    </row>
    <row r="683" ht="14.25" customHeight="1">
      <c r="C683" s="11"/>
      <c r="F683" s="6"/>
      <c r="G683" s="11"/>
    </row>
    <row r="684" ht="14.25" customHeight="1">
      <c r="C684" s="11"/>
      <c r="F684" s="6"/>
      <c r="G684" s="11"/>
    </row>
    <row r="685" ht="14.25" customHeight="1">
      <c r="C685" s="11"/>
      <c r="F685" s="6"/>
      <c r="G685" s="11"/>
    </row>
    <row r="686" ht="14.25" customHeight="1">
      <c r="C686" s="11"/>
      <c r="F686" s="6"/>
      <c r="G686" s="11"/>
    </row>
    <row r="687" ht="14.25" customHeight="1">
      <c r="C687" s="11"/>
      <c r="F687" s="6"/>
      <c r="G687" s="11"/>
    </row>
    <row r="688" ht="14.25" customHeight="1">
      <c r="C688" s="11"/>
      <c r="F688" s="6"/>
      <c r="G688" s="11"/>
    </row>
    <row r="689" ht="14.25" customHeight="1">
      <c r="C689" s="11"/>
      <c r="F689" s="6"/>
      <c r="G689" s="11"/>
    </row>
    <row r="690" ht="14.25" customHeight="1">
      <c r="C690" s="11"/>
      <c r="F690" s="6"/>
      <c r="G690" s="11"/>
    </row>
    <row r="691" ht="14.25" customHeight="1">
      <c r="C691" s="11"/>
      <c r="F691" s="6"/>
      <c r="G691" s="11"/>
    </row>
    <row r="692" ht="14.25" customHeight="1">
      <c r="C692" s="11"/>
      <c r="F692" s="6"/>
      <c r="G692" s="11"/>
    </row>
    <row r="693" ht="14.25" customHeight="1">
      <c r="C693" s="11"/>
      <c r="F693" s="6"/>
      <c r="G693" s="11"/>
    </row>
    <row r="694" ht="14.25" customHeight="1">
      <c r="C694" s="11"/>
      <c r="F694" s="6"/>
      <c r="G694" s="11"/>
    </row>
    <row r="695" ht="14.25" customHeight="1">
      <c r="C695" s="11"/>
      <c r="F695" s="6"/>
      <c r="G695" s="11"/>
    </row>
    <row r="696" ht="14.25" customHeight="1">
      <c r="C696" s="11"/>
      <c r="F696" s="6"/>
      <c r="G696" s="11"/>
    </row>
    <row r="697" ht="14.25" customHeight="1">
      <c r="C697" s="11"/>
      <c r="F697" s="6"/>
      <c r="G697" s="11"/>
    </row>
    <row r="698" ht="14.25" customHeight="1">
      <c r="C698" s="11"/>
      <c r="F698" s="6"/>
      <c r="G698" s="11"/>
    </row>
    <row r="699" ht="14.25" customHeight="1">
      <c r="C699" s="11"/>
      <c r="F699" s="6"/>
      <c r="G699" s="11"/>
    </row>
    <row r="700" ht="14.25" customHeight="1">
      <c r="C700" s="11"/>
      <c r="F700" s="6"/>
      <c r="G700" s="11"/>
    </row>
    <row r="701" ht="14.25" customHeight="1">
      <c r="C701" s="11"/>
      <c r="F701" s="6"/>
      <c r="G701" s="11"/>
    </row>
    <row r="702" ht="14.25" customHeight="1">
      <c r="C702" s="11"/>
      <c r="F702" s="6"/>
      <c r="G702" s="11"/>
    </row>
    <row r="703" ht="14.25" customHeight="1">
      <c r="C703" s="11"/>
      <c r="F703" s="6"/>
      <c r="G703" s="11"/>
    </row>
    <row r="704" ht="14.25" customHeight="1">
      <c r="C704" s="11"/>
      <c r="F704" s="6"/>
      <c r="G704" s="11"/>
    </row>
    <row r="705" ht="14.25" customHeight="1">
      <c r="C705" s="11"/>
      <c r="F705" s="6"/>
      <c r="G705" s="11"/>
    </row>
    <row r="706" ht="14.25" customHeight="1">
      <c r="C706" s="11"/>
      <c r="F706" s="6"/>
      <c r="G706" s="11"/>
    </row>
    <row r="707" ht="14.25" customHeight="1">
      <c r="C707" s="11"/>
      <c r="F707" s="6"/>
      <c r="G707" s="11"/>
    </row>
    <row r="708" ht="14.25" customHeight="1">
      <c r="C708" s="11"/>
      <c r="F708" s="6"/>
      <c r="G708" s="11"/>
    </row>
    <row r="709" ht="14.25" customHeight="1">
      <c r="C709" s="11"/>
      <c r="F709" s="6"/>
      <c r="G709" s="11"/>
    </row>
    <row r="710" ht="14.25" customHeight="1">
      <c r="C710" s="11"/>
      <c r="F710" s="6"/>
      <c r="G710" s="11"/>
    </row>
    <row r="711" ht="14.25" customHeight="1">
      <c r="C711" s="11"/>
      <c r="F711" s="6"/>
      <c r="G711" s="11"/>
    </row>
    <row r="712" ht="14.25" customHeight="1">
      <c r="C712" s="11"/>
      <c r="F712" s="6"/>
      <c r="G712" s="11"/>
    </row>
    <row r="713" ht="14.25" customHeight="1">
      <c r="C713" s="11"/>
      <c r="F713" s="6"/>
      <c r="G713" s="11"/>
    </row>
    <row r="714" ht="14.25" customHeight="1">
      <c r="C714" s="11"/>
      <c r="F714" s="6"/>
      <c r="G714" s="11"/>
    </row>
    <row r="715" ht="14.25" customHeight="1">
      <c r="C715" s="11"/>
      <c r="F715" s="6"/>
      <c r="G715" s="11"/>
    </row>
    <row r="716" ht="14.25" customHeight="1">
      <c r="C716" s="11"/>
      <c r="F716" s="6"/>
      <c r="G716" s="11"/>
    </row>
    <row r="717" ht="14.25" customHeight="1">
      <c r="C717" s="11"/>
      <c r="F717" s="6"/>
      <c r="G717" s="11"/>
    </row>
    <row r="718" ht="14.25" customHeight="1">
      <c r="C718" s="11"/>
      <c r="F718" s="6"/>
      <c r="G718" s="11"/>
    </row>
    <row r="719" ht="14.25" customHeight="1">
      <c r="C719" s="11"/>
      <c r="F719" s="6"/>
      <c r="G719" s="11"/>
    </row>
    <row r="720" ht="14.25" customHeight="1">
      <c r="C720" s="11"/>
      <c r="F720" s="6"/>
      <c r="G720" s="11"/>
    </row>
    <row r="721" ht="14.25" customHeight="1">
      <c r="C721" s="11"/>
      <c r="F721" s="6"/>
      <c r="G721" s="11"/>
    </row>
    <row r="722" ht="14.25" customHeight="1">
      <c r="C722" s="11"/>
      <c r="F722" s="6"/>
      <c r="G722" s="11"/>
    </row>
    <row r="723" ht="14.25" customHeight="1">
      <c r="C723" s="11"/>
      <c r="F723" s="6"/>
      <c r="G723" s="11"/>
    </row>
    <row r="724" ht="14.25" customHeight="1">
      <c r="C724" s="11"/>
      <c r="F724" s="6"/>
      <c r="G724" s="11"/>
    </row>
    <row r="725" ht="14.25" customHeight="1">
      <c r="C725" s="11"/>
      <c r="F725" s="6"/>
      <c r="G725" s="11"/>
    </row>
    <row r="726" ht="14.25" customHeight="1">
      <c r="C726" s="11"/>
      <c r="F726" s="6"/>
      <c r="G726" s="11"/>
    </row>
    <row r="727" ht="14.25" customHeight="1">
      <c r="C727" s="11"/>
      <c r="F727" s="6"/>
      <c r="G727" s="11"/>
    </row>
    <row r="728" ht="14.25" customHeight="1">
      <c r="C728" s="11"/>
      <c r="F728" s="6"/>
      <c r="G728" s="11"/>
    </row>
    <row r="729" ht="14.25" customHeight="1">
      <c r="C729" s="11"/>
      <c r="F729" s="6"/>
      <c r="G729" s="11"/>
    </row>
    <row r="730" ht="14.25" customHeight="1">
      <c r="C730" s="11"/>
      <c r="F730" s="6"/>
      <c r="G730" s="11"/>
    </row>
    <row r="731" ht="14.25" customHeight="1">
      <c r="C731" s="11"/>
      <c r="F731" s="6"/>
      <c r="G731" s="11"/>
    </row>
    <row r="732" ht="14.25" customHeight="1">
      <c r="C732" s="11"/>
      <c r="F732" s="6"/>
      <c r="G732" s="11"/>
    </row>
    <row r="733" ht="14.25" customHeight="1">
      <c r="C733" s="11"/>
      <c r="F733" s="6"/>
      <c r="G733" s="11"/>
    </row>
    <row r="734" ht="14.25" customHeight="1">
      <c r="C734" s="11"/>
      <c r="F734" s="6"/>
      <c r="G734" s="11"/>
    </row>
    <row r="735" ht="14.25" customHeight="1">
      <c r="C735" s="11"/>
      <c r="F735" s="6"/>
      <c r="G735" s="11"/>
    </row>
    <row r="736" ht="14.25" customHeight="1">
      <c r="C736" s="11"/>
      <c r="F736" s="6"/>
      <c r="G736" s="11"/>
    </row>
    <row r="737" ht="14.25" customHeight="1">
      <c r="C737" s="11"/>
      <c r="F737" s="6"/>
      <c r="G737" s="11"/>
    </row>
    <row r="738" ht="14.25" customHeight="1">
      <c r="C738" s="11"/>
      <c r="F738" s="6"/>
      <c r="G738" s="11"/>
    </row>
    <row r="739" ht="14.25" customHeight="1">
      <c r="C739" s="11"/>
      <c r="F739" s="6"/>
      <c r="G739" s="11"/>
    </row>
    <row r="740" ht="14.25" customHeight="1">
      <c r="C740" s="11"/>
      <c r="F740" s="6"/>
      <c r="G740" s="11"/>
    </row>
    <row r="741" ht="14.25" customHeight="1">
      <c r="C741" s="11"/>
      <c r="F741" s="6"/>
      <c r="G741" s="11"/>
    </row>
    <row r="742" ht="14.25" customHeight="1">
      <c r="C742" s="11"/>
      <c r="F742" s="6"/>
      <c r="G742" s="11"/>
    </row>
    <row r="743" ht="14.25" customHeight="1">
      <c r="C743" s="11"/>
      <c r="F743" s="6"/>
      <c r="G743" s="11"/>
    </row>
    <row r="744" ht="14.25" customHeight="1">
      <c r="C744" s="11"/>
      <c r="F744" s="6"/>
      <c r="G744" s="11"/>
    </row>
    <row r="745" ht="14.25" customHeight="1">
      <c r="C745" s="11"/>
      <c r="F745" s="6"/>
      <c r="G745" s="11"/>
    </row>
    <row r="746" ht="14.25" customHeight="1">
      <c r="C746" s="11"/>
      <c r="F746" s="6"/>
      <c r="G746" s="11"/>
    </row>
    <row r="747" ht="14.25" customHeight="1">
      <c r="C747" s="11"/>
      <c r="F747" s="6"/>
      <c r="G747" s="11"/>
    </row>
    <row r="748" ht="14.25" customHeight="1">
      <c r="C748" s="11"/>
      <c r="F748" s="6"/>
      <c r="G748" s="11"/>
    </row>
    <row r="749" ht="14.25" customHeight="1">
      <c r="C749" s="11"/>
      <c r="F749" s="6"/>
      <c r="G749" s="11"/>
    </row>
    <row r="750" ht="14.25" customHeight="1">
      <c r="C750" s="11"/>
      <c r="F750" s="6"/>
      <c r="G750" s="11"/>
    </row>
    <row r="751" ht="14.25" customHeight="1">
      <c r="C751" s="11"/>
      <c r="F751" s="6"/>
      <c r="G751" s="11"/>
    </row>
    <row r="752" ht="14.25" customHeight="1">
      <c r="C752" s="11"/>
      <c r="F752" s="6"/>
      <c r="G752" s="11"/>
    </row>
    <row r="753" ht="14.25" customHeight="1">
      <c r="C753" s="11"/>
      <c r="F753" s="6"/>
      <c r="G753" s="11"/>
    </row>
    <row r="754" ht="14.25" customHeight="1">
      <c r="C754" s="11"/>
      <c r="F754" s="6"/>
      <c r="G754" s="11"/>
    </row>
    <row r="755" ht="14.25" customHeight="1">
      <c r="C755" s="11"/>
      <c r="F755" s="6"/>
      <c r="G755" s="11"/>
    </row>
    <row r="756" ht="14.25" customHeight="1">
      <c r="C756" s="11"/>
      <c r="F756" s="6"/>
      <c r="G756" s="11"/>
    </row>
    <row r="757" ht="14.25" customHeight="1">
      <c r="C757" s="11"/>
      <c r="F757" s="6"/>
      <c r="G757" s="11"/>
    </row>
    <row r="758" ht="14.25" customHeight="1">
      <c r="C758" s="11"/>
      <c r="F758" s="6"/>
      <c r="G758" s="11"/>
    </row>
    <row r="759" ht="14.25" customHeight="1">
      <c r="C759" s="11"/>
      <c r="F759" s="6"/>
      <c r="G759" s="11"/>
    </row>
    <row r="760" ht="14.25" customHeight="1">
      <c r="C760" s="11"/>
      <c r="F760" s="6"/>
      <c r="G760" s="11"/>
    </row>
    <row r="761" ht="14.25" customHeight="1">
      <c r="C761" s="11"/>
      <c r="F761" s="6"/>
      <c r="G761" s="11"/>
    </row>
    <row r="762" ht="14.25" customHeight="1">
      <c r="C762" s="11"/>
      <c r="F762" s="6"/>
      <c r="G762" s="11"/>
    </row>
    <row r="763" ht="14.25" customHeight="1">
      <c r="C763" s="11"/>
      <c r="F763" s="6"/>
      <c r="G763" s="11"/>
    </row>
    <row r="764" ht="14.25" customHeight="1">
      <c r="C764" s="11"/>
      <c r="F764" s="6"/>
      <c r="G764" s="11"/>
    </row>
    <row r="765" ht="14.25" customHeight="1">
      <c r="C765" s="11"/>
      <c r="F765" s="6"/>
      <c r="G765" s="11"/>
    </row>
    <row r="766" ht="14.25" customHeight="1">
      <c r="C766" s="11"/>
      <c r="F766" s="6"/>
      <c r="G766" s="11"/>
    </row>
    <row r="767" ht="14.25" customHeight="1">
      <c r="C767" s="11"/>
      <c r="F767" s="6"/>
      <c r="G767" s="11"/>
    </row>
    <row r="768" ht="14.25" customHeight="1">
      <c r="C768" s="11"/>
      <c r="F768" s="6"/>
      <c r="G768" s="11"/>
    </row>
    <row r="769" ht="14.25" customHeight="1">
      <c r="C769" s="11"/>
      <c r="F769" s="6"/>
      <c r="G769" s="11"/>
    </row>
    <row r="770" ht="14.25" customHeight="1">
      <c r="C770" s="11"/>
      <c r="F770" s="6"/>
      <c r="G770" s="11"/>
    </row>
    <row r="771" ht="14.25" customHeight="1">
      <c r="C771" s="11"/>
      <c r="F771" s="6"/>
      <c r="G771" s="11"/>
    </row>
    <row r="772" ht="14.25" customHeight="1">
      <c r="C772" s="11"/>
      <c r="F772" s="6"/>
      <c r="G772" s="11"/>
    </row>
    <row r="773" ht="14.25" customHeight="1">
      <c r="C773" s="11"/>
      <c r="F773" s="6"/>
      <c r="G773" s="11"/>
    </row>
    <row r="774" ht="14.25" customHeight="1">
      <c r="C774" s="11"/>
      <c r="F774" s="6"/>
      <c r="G774" s="11"/>
    </row>
    <row r="775" ht="14.25" customHeight="1">
      <c r="C775" s="11"/>
      <c r="F775" s="6"/>
      <c r="G775" s="11"/>
    </row>
    <row r="776" ht="14.25" customHeight="1">
      <c r="C776" s="11"/>
      <c r="F776" s="6"/>
      <c r="G776" s="11"/>
    </row>
    <row r="777" ht="14.25" customHeight="1">
      <c r="C777" s="11"/>
      <c r="F777" s="6"/>
      <c r="G777" s="11"/>
    </row>
    <row r="778" ht="14.25" customHeight="1">
      <c r="C778" s="11"/>
      <c r="F778" s="6"/>
      <c r="G778" s="11"/>
    </row>
    <row r="779" ht="14.25" customHeight="1">
      <c r="C779" s="11"/>
      <c r="F779" s="6"/>
      <c r="G779" s="11"/>
    </row>
    <row r="780" ht="14.25" customHeight="1">
      <c r="C780" s="11"/>
      <c r="F780" s="6"/>
      <c r="G780" s="11"/>
    </row>
    <row r="781" ht="14.25" customHeight="1">
      <c r="C781" s="11"/>
      <c r="F781" s="6"/>
      <c r="G781" s="11"/>
    </row>
    <row r="782" ht="14.25" customHeight="1">
      <c r="C782" s="11"/>
      <c r="F782" s="6"/>
      <c r="G782" s="11"/>
    </row>
    <row r="783" ht="14.25" customHeight="1">
      <c r="C783" s="11"/>
      <c r="F783" s="6"/>
      <c r="G783" s="11"/>
    </row>
    <row r="784" ht="14.25" customHeight="1">
      <c r="C784" s="11"/>
      <c r="F784" s="6"/>
      <c r="G784" s="11"/>
    </row>
    <row r="785" ht="14.25" customHeight="1">
      <c r="C785" s="11"/>
      <c r="F785" s="6"/>
      <c r="G785" s="11"/>
    </row>
    <row r="786" ht="14.25" customHeight="1">
      <c r="C786" s="11"/>
      <c r="F786" s="6"/>
      <c r="G786" s="11"/>
    </row>
    <row r="787" ht="14.25" customHeight="1">
      <c r="C787" s="11"/>
      <c r="F787" s="6"/>
      <c r="G787" s="11"/>
    </row>
    <row r="788" ht="14.25" customHeight="1">
      <c r="C788" s="11"/>
      <c r="F788" s="6"/>
      <c r="G788" s="11"/>
    </row>
    <row r="789" ht="14.25" customHeight="1">
      <c r="C789" s="11"/>
      <c r="F789" s="6"/>
      <c r="G789" s="11"/>
    </row>
    <row r="790" ht="14.25" customHeight="1">
      <c r="C790" s="11"/>
      <c r="F790" s="6"/>
      <c r="G790" s="11"/>
    </row>
    <row r="791" ht="14.25" customHeight="1">
      <c r="C791" s="11"/>
      <c r="F791" s="6"/>
      <c r="G791" s="11"/>
    </row>
    <row r="792" ht="14.25" customHeight="1">
      <c r="C792" s="11"/>
      <c r="F792" s="6"/>
      <c r="G792" s="11"/>
    </row>
    <row r="793" ht="14.25" customHeight="1">
      <c r="C793" s="11"/>
      <c r="F793" s="6"/>
      <c r="G793" s="11"/>
    </row>
    <row r="794" ht="14.25" customHeight="1">
      <c r="C794" s="11"/>
      <c r="F794" s="6"/>
      <c r="G794" s="11"/>
    </row>
    <row r="795" ht="14.25" customHeight="1">
      <c r="C795" s="11"/>
      <c r="F795" s="6"/>
      <c r="G795" s="11"/>
    </row>
    <row r="796" ht="14.25" customHeight="1">
      <c r="C796" s="11"/>
      <c r="F796" s="6"/>
      <c r="G796" s="11"/>
    </row>
    <row r="797" ht="14.25" customHeight="1">
      <c r="C797" s="11"/>
      <c r="F797" s="6"/>
      <c r="G797" s="11"/>
    </row>
    <row r="798" ht="14.25" customHeight="1">
      <c r="C798" s="11"/>
      <c r="F798" s="6"/>
      <c r="G798" s="11"/>
    </row>
    <row r="799" ht="14.25" customHeight="1">
      <c r="C799" s="11"/>
      <c r="F799" s="6"/>
      <c r="G799" s="11"/>
    </row>
    <row r="800" ht="14.25" customHeight="1">
      <c r="C800" s="11"/>
      <c r="F800" s="6"/>
      <c r="G800" s="11"/>
    </row>
    <row r="801" ht="14.25" customHeight="1">
      <c r="C801" s="11"/>
      <c r="F801" s="6"/>
      <c r="G801" s="11"/>
    </row>
    <row r="802" ht="14.25" customHeight="1">
      <c r="C802" s="11"/>
      <c r="F802" s="6"/>
      <c r="G802" s="11"/>
    </row>
    <row r="803" ht="14.25" customHeight="1">
      <c r="C803" s="11"/>
      <c r="F803" s="6"/>
      <c r="G803" s="11"/>
    </row>
    <row r="804" ht="14.25" customHeight="1">
      <c r="C804" s="11"/>
      <c r="F804" s="6"/>
      <c r="G804" s="11"/>
    </row>
    <row r="805" ht="14.25" customHeight="1">
      <c r="C805" s="11"/>
      <c r="F805" s="6"/>
      <c r="G805" s="11"/>
    </row>
    <row r="806" ht="14.25" customHeight="1">
      <c r="C806" s="11"/>
      <c r="F806" s="6"/>
      <c r="G806" s="11"/>
    </row>
    <row r="807" ht="14.25" customHeight="1">
      <c r="C807" s="11"/>
      <c r="F807" s="6"/>
      <c r="G807" s="11"/>
    </row>
    <row r="808" ht="14.25" customHeight="1">
      <c r="C808" s="11"/>
      <c r="F808" s="6"/>
      <c r="G808" s="11"/>
    </row>
    <row r="809" ht="14.25" customHeight="1">
      <c r="C809" s="11"/>
      <c r="F809" s="6"/>
      <c r="G809" s="11"/>
    </row>
    <row r="810" ht="14.25" customHeight="1">
      <c r="C810" s="11"/>
      <c r="F810" s="6"/>
      <c r="G810" s="11"/>
    </row>
    <row r="811" ht="14.25" customHeight="1">
      <c r="C811" s="11"/>
      <c r="F811" s="6"/>
      <c r="G811" s="11"/>
    </row>
    <row r="812" ht="14.25" customHeight="1">
      <c r="C812" s="11"/>
      <c r="F812" s="6"/>
      <c r="G812" s="11"/>
    </row>
    <row r="813" ht="14.25" customHeight="1">
      <c r="C813" s="11"/>
      <c r="F813" s="6"/>
      <c r="G813" s="11"/>
    </row>
    <row r="814" ht="14.25" customHeight="1">
      <c r="C814" s="11"/>
      <c r="F814" s="6"/>
      <c r="G814" s="11"/>
    </row>
    <row r="815" ht="14.25" customHeight="1">
      <c r="C815" s="11"/>
      <c r="F815" s="6"/>
      <c r="G815" s="11"/>
    </row>
    <row r="816" ht="14.25" customHeight="1">
      <c r="C816" s="11"/>
      <c r="F816" s="6"/>
      <c r="G816" s="11"/>
    </row>
    <row r="817" ht="14.25" customHeight="1">
      <c r="C817" s="11"/>
      <c r="F817" s="6"/>
      <c r="G817" s="11"/>
    </row>
    <row r="818" ht="14.25" customHeight="1">
      <c r="C818" s="11"/>
      <c r="F818" s="6"/>
      <c r="G818" s="11"/>
    </row>
    <row r="819" ht="14.25" customHeight="1">
      <c r="C819" s="11"/>
      <c r="F819" s="6"/>
      <c r="G819" s="11"/>
    </row>
    <row r="820" ht="14.25" customHeight="1">
      <c r="C820" s="11"/>
      <c r="F820" s="6"/>
      <c r="G820" s="11"/>
    </row>
    <row r="821" ht="14.25" customHeight="1">
      <c r="C821" s="11"/>
      <c r="F821" s="6"/>
      <c r="G821" s="11"/>
    </row>
    <row r="822" ht="14.25" customHeight="1">
      <c r="C822" s="11"/>
      <c r="F822" s="6"/>
      <c r="G822" s="11"/>
    </row>
    <row r="823" ht="14.25" customHeight="1">
      <c r="C823" s="11"/>
      <c r="F823" s="6"/>
      <c r="G823" s="11"/>
    </row>
    <row r="824" ht="14.25" customHeight="1">
      <c r="C824" s="11"/>
      <c r="F824" s="6"/>
      <c r="G824" s="11"/>
    </row>
    <row r="825" ht="14.25" customHeight="1">
      <c r="C825" s="11"/>
      <c r="F825" s="6"/>
      <c r="G825" s="11"/>
    </row>
    <row r="826" ht="14.25" customHeight="1">
      <c r="C826" s="11"/>
      <c r="F826" s="6"/>
      <c r="G826" s="11"/>
    </row>
    <row r="827" ht="14.25" customHeight="1">
      <c r="C827" s="11"/>
      <c r="F827" s="6"/>
      <c r="G827" s="11"/>
    </row>
    <row r="828" ht="14.25" customHeight="1">
      <c r="C828" s="11"/>
      <c r="F828" s="6"/>
      <c r="G828" s="11"/>
    </row>
    <row r="829" ht="14.25" customHeight="1">
      <c r="C829" s="11"/>
      <c r="F829" s="6"/>
      <c r="G829" s="11"/>
    </row>
    <row r="830" ht="14.25" customHeight="1">
      <c r="C830" s="11"/>
      <c r="F830" s="6"/>
      <c r="G830" s="11"/>
    </row>
    <row r="831" ht="14.25" customHeight="1">
      <c r="C831" s="11"/>
      <c r="F831" s="6"/>
      <c r="G831" s="11"/>
    </row>
    <row r="832" ht="14.25" customHeight="1">
      <c r="C832" s="11"/>
      <c r="F832" s="6"/>
      <c r="G832" s="11"/>
    </row>
    <row r="833" ht="14.25" customHeight="1">
      <c r="C833" s="11"/>
      <c r="F833" s="6"/>
      <c r="G833" s="11"/>
    </row>
    <row r="834" ht="14.25" customHeight="1">
      <c r="C834" s="11"/>
      <c r="F834" s="6"/>
      <c r="G834" s="11"/>
    </row>
    <row r="835" ht="14.25" customHeight="1">
      <c r="C835" s="11"/>
      <c r="F835" s="6"/>
      <c r="G835" s="11"/>
    </row>
    <row r="836" ht="14.25" customHeight="1">
      <c r="C836" s="11"/>
      <c r="F836" s="6"/>
      <c r="G836" s="11"/>
    </row>
    <row r="837" ht="14.25" customHeight="1">
      <c r="C837" s="11"/>
      <c r="F837" s="6"/>
      <c r="G837" s="11"/>
    </row>
    <row r="838" ht="14.25" customHeight="1">
      <c r="C838" s="11"/>
      <c r="F838" s="6"/>
      <c r="G838" s="11"/>
    </row>
    <row r="839" ht="14.25" customHeight="1">
      <c r="C839" s="11"/>
      <c r="F839" s="6"/>
      <c r="G839" s="11"/>
    </row>
    <row r="840" ht="14.25" customHeight="1">
      <c r="C840" s="11"/>
      <c r="F840" s="6"/>
      <c r="G840" s="11"/>
    </row>
    <row r="841" ht="14.25" customHeight="1">
      <c r="C841" s="11"/>
      <c r="F841" s="6"/>
      <c r="G841" s="11"/>
    </row>
    <row r="842" ht="14.25" customHeight="1">
      <c r="C842" s="11"/>
      <c r="F842" s="6"/>
      <c r="G842" s="11"/>
    </row>
    <row r="843" ht="14.25" customHeight="1">
      <c r="C843" s="11"/>
      <c r="F843" s="6"/>
      <c r="G843" s="11"/>
    </row>
    <row r="844" ht="14.25" customHeight="1">
      <c r="C844" s="11"/>
      <c r="F844" s="6"/>
      <c r="G844" s="11"/>
    </row>
    <row r="845" ht="14.25" customHeight="1">
      <c r="C845" s="11"/>
      <c r="F845" s="6"/>
      <c r="G845" s="11"/>
    </row>
    <row r="846" ht="14.25" customHeight="1">
      <c r="C846" s="11"/>
      <c r="F846" s="6"/>
      <c r="G846" s="11"/>
    </row>
    <row r="847" ht="14.25" customHeight="1">
      <c r="C847" s="11"/>
      <c r="F847" s="6"/>
      <c r="G847" s="11"/>
    </row>
    <row r="848" ht="14.25" customHeight="1">
      <c r="C848" s="11"/>
      <c r="F848" s="6"/>
      <c r="G848" s="11"/>
    </row>
    <row r="849" ht="14.25" customHeight="1">
      <c r="C849" s="11"/>
      <c r="F849" s="6"/>
      <c r="G849" s="11"/>
    </row>
    <row r="850" ht="14.25" customHeight="1">
      <c r="C850" s="11"/>
      <c r="F850" s="6"/>
      <c r="G850" s="11"/>
    </row>
    <row r="851" ht="14.25" customHeight="1">
      <c r="C851" s="11"/>
      <c r="F851" s="6"/>
      <c r="G851" s="11"/>
    </row>
    <row r="852" ht="14.25" customHeight="1">
      <c r="C852" s="11"/>
      <c r="F852" s="6"/>
      <c r="G852" s="11"/>
    </row>
    <row r="853" ht="14.25" customHeight="1">
      <c r="C853" s="11"/>
      <c r="F853" s="6"/>
      <c r="G853" s="11"/>
    </row>
    <row r="854" ht="14.25" customHeight="1">
      <c r="C854" s="11"/>
      <c r="F854" s="6"/>
      <c r="G854" s="11"/>
    </row>
    <row r="855" ht="14.25" customHeight="1">
      <c r="C855" s="11"/>
      <c r="F855" s="6"/>
      <c r="G855" s="11"/>
    </row>
    <row r="856" ht="14.25" customHeight="1">
      <c r="C856" s="11"/>
      <c r="F856" s="6"/>
      <c r="G856" s="11"/>
    </row>
    <row r="857" ht="14.25" customHeight="1">
      <c r="C857" s="11"/>
      <c r="F857" s="6"/>
      <c r="G857" s="11"/>
    </row>
    <row r="858" ht="14.25" customHeight="1">
      <c r="C858" s="11"/>
      <c r="F858" s="6"/>
      <c r="G858" s="11"/>
    </row>
    <row r="859" ht="14.25" customHeight="1">
      <c r="C859" s="11"/>
      <c r="F859" s="6"/>
      <c r="G859" s="11"/>
    </row>
    <row r="860" ht="14.25" customHeight="1">
      <c r="C860" s="11"/>
      <c r="F860" s="6"/>
      <c r="G860" s="11"/>
    </row>
    <row r="861" ht="14.25" customHeight="1">
      <c r="C861" s="11"/>
      <c r="F861" s="6"/>
      <c r="G861" s="11"/>
    </row>
    <row r="862" ht="14.25" customHeight="1">
      <c r="C862" s="11"/>
      <c r="F862" s="6"/>
      <c r="G862" s="11"/>
    </row>
    <row r="863" ht="14.25" customHeight="1">
      <c r="C863" s="11"/>
      <c r="F863" s="6"/>
      <c r="G863" s="11"/>
    </row>
    <row r="864" ht="14.25" customHeight="1">
      <c r="C864" s="11"/>
      <c r="F864" s="6"/>
      <c r="G864" s="11"/>
    </row>
    <row r="865" ht="14.25" customHeight="1">
      <c r="C865" s="11"/>
      <c r="F865" s="6"/>
      <c r="G865" s="11"/>
    </row>
    <row r="866" ht="14.25" customHeight="1">
      <c r="C866" s="11"/>
      <c r="F866" s="6"/>
      <c r="G866" s="11"/>
    </row>
    <row r="867" ht="14.25" customHeight="1">
      <c r="C867" s="11"/>
      <c r="F867" s="6"/>
      <c r="G867" s="11"/>
    </row>
    <row r="868" ht="14.25" customHeight="1">
      <c r="C868" s="11"/>
      <c r="F868" s="6"/>
      <c r="G868" s="11"/>
    </row>
    <row r="869" ht="14.25" customHeight="1">
      <c r="C869" s="11"/>
      <c r="F869" s="6"/>
      <c r="G869" s="11"/>
    </row>
    <row r="870" ht="14.25" customHeight="1">
      <c r="C870" s="11"/>
      <c r="F870" s="6"/>
      <c r="G870" s="11"/>
    </row>
    <row r="871" ht="14.25" customHeight="1">
      <c r="C871" s="11"/>
      <c r="F871" s="6"/>
      <c r="G871" s="11"/>
    </row>
    <row r="872" ht="14.25" customHeight="1">
      <c r="C872" s="11"/>
      <c r="F872" s="6"/>
      <c r="G872" s="11"/>
    </row>
    <row r="873" ht="14.25" customHeight="1">
      <c r="C873" s="11"/>
      <c r="F873" s="6"/>
      <c r="G873" s="11"/>
    </row>
    <row r="874" ht="14.25" customHeight="1">
      <c r="C874" s="11"/>
      <c r="F874" s="6"/>
      <c r="G874" s="11"/>
    </row>
    <row r="875" ht="14.25" customHeight="1">
      <c r="C875" s="11"/>
      <c r="F875" s="6"/>
      <c r="G875" s="11"/>
    </row>
    <row r="876" ht="14.25" customHeight="1">
      <c r="C876" s="11"/>
      <c r="F876" s="6"/>
      <c r="G876" s="11"/>
    </row>
    <row r="877" ht="14.25" customHeight="1">
      <c r="C877" s="11"/>
      <c r="F877" s="6"/>
      <c r="G877" s="11"/>
    </row>
    <row r="878" ht="14.25" customHeight="1">
      <c r="C878" s="11"/>
      <c r="F878" s="6"/>
      <c r="G878" s="11"/>
    </row>
    <row r="879" ht="14.25" customHeight="1">
      <c r="C879" s="11"/>
      <c r="F879" s="6"/>
      <c r="G879" s="11"/>
    </row>
    <row r="880" ht="14.25" customHeight="1">
      <c r="C880" s="11"/>
      <c r="F880" s="6"/>
      <c r="G880" s="11"/>
    </row>
    <row r="881" ht="14.25" customHeight="1">
      <c r="C881" s="11"/>
      <c r="F881" s="6"/>
      <c r="G881" s="11"/>
    </row>
    <row r="882" ht="14.25" customHeight="1">
      <c r="C882" s="11"/>
      <c r="F882" s="6"/>
      <c r="G882" s="11"/>
    </row>
    <row r="883" ht="14.25" customHeight="1">
      <c r="C883" s="11"/>
      <c r="F883" s="6"/>
      <c r="G883" s="11"/>
    </row>
    <row r="884" ht="14.25" customHeight="1">
      <c r="C884" s="11"/>
      <c r="F884" s="6"/>
      <c r="G884" s="11"/>
    </row>
    <row r="885" ht="14.25" customHeight="1">
      <c r="C885" s="11"/>
      <c r="F885" s="6"/>
      <c r="G885" s="11"/>
    </row>
    <row r="886" ht="14.25" customHeight="1">
      <c r="C886" s="11"/>
      <c r="F886" s="6"/>
      <c r="G886" s="11"/>
    </row>
    <row r="887" ht="14.25" customHeight="1">
      <c r="C887" s="11"/>
      <c r="F887" s="6"/>
      <c r="G887" s="11"/>
    </row>
    <row r="888" ht="14.25" customHeight="1">
      <c r="C888" s="11"/>
      <c r="F888" s="6"/>
      <c r="G888" s="11"/>
    </row>
    <row r="889" ht="14.25" customHeight="1">
      <c r="C889" s="11"/>
      <c r="F889" s="6"/>
      <c r="G889" s="11"/>
    </row>
    <row r="890" ht="14.25" customHeight="1">
      <c r="C890" s="11"/>
      <c r="F890" s="6"/>
      <c r="G890" s="11"/>
    </row>
    <row r="891" ht="14.25" customHeight="1">
      <c r="C891" s="11"/>
      <c r="F891" s="6"/>
      <c r="G891" s="11"/>
    </row>
    <row r="892" ht="14.25" customHeight="1">
      <c r="C892" s="11"/>
      <c r="F892" s="6"/>
      <c r="G892" s="11"/>
    </row>
    <row r="893" ht="14.25" customHeight="1">
      <c r="C893" s="11"/>
      <c r="F893" s="6"/>
      <c r="G893" s="11"/>
    </row>
    <row r="894" ht="14.25" customHeight="1">
      <c r="C894" s="11"/>
      <c r="F894" s="6"/>
      <c r="G894" s="11"/>
    </row>
    <row r="895" ht="14.25" customHeight="1">
      <c r="C895" s="11"/>
      <c r="F895" s="6"/>
      <c r="G895" s="11"/>
    </row>
    <row r="896" ht="14.25" customHeight="1">
      <c r="C896" s="11"/>
      <c r="F896" s="6"/>
      <c r="G896" s="11"/>
    </row>
    <row r="897" ht="14.25" customHeight="1">
      <c r="C897" s="11"/>
      <c r="F897" s="6"/>
      <c r="G897" s="11"/>
    </row>
    <row r="898" ht="14.25" customHeight="1">
      <c r="C898" s="11"/>
      <c r="F898" s="6"/>
      <c r="G898" s="11"/>
    </row>
    <row r="899" ht="14.25" customHeight="1">
      <c r="C899" s="11"/>
      <c r="F899" s="6"/>
      <c r="G899" s="11"/>
    </row>
    <row r="900" ht="14.25" customHeight="1">
      <c r="C900" s="11"/>
      <c r="F900" s="6"/>
      <c r="G900" s="11"/>
    </row>
    <row r="901" ht="14.25" customHeight="1">
      <c r="C901" s="11"/>
      <c r="F901" s="6"/>
      <c r="G901" s="11"/>
    </row>
    <row r="902" ht="14.25" customHeight="1">
      <c r="C902" s="11"/>
      <c r="F902" s="6"/>
      <c r="G902" s="11"/>
    </row>
    <row r="903" ht="14.25" customHeight="1">
      <c r="C903" s="11"/>
      <c r="F903" s="6"/>
      <c r="G903" s="11"/>
    </row>
    <row r="904" ht="14.25" customHeight="1">
      <c r="C904" s="11"/>
      <c r="F904" s="6"/>
      <c r="G904" s="11"/>
    </row>
    <row r="905" ht="14.25" customHeight="1">
      <c r="C905" s="11"/>
      <c r="F905" s="6"/>
      <c r="G905" s="11"/>
    </row>
    <row r="906" ht="14.25" customHeight="1">
      <c r="C906" s="11"/>
      <c r="F906" s="6"/>
      <c r="G906" s="11"/>
    </row>
    <row r="907" ht="14.25" customHeight="1">
      <c r="C907" s="11"/>
      <c r="F907" s="6"/>
      <c r="G907" s="11"/>
    </row>
    <row r="908" ht="14.25" customHeight="1">
      <c r="C908" s="11"/>
      <c r="F908" s="6"/>
      <c r="G908" s="11"/>
    </row>
    <row r="909" ht="14.25" customHeight="1">
      <c r="C909" s="11"/>
      <c r="F909" s="6"/>
      <c r="G909" s="11"/>
    </row>
    <row r="910" ht="14.25" customHeight="1">
      <c r="C910" s="11"/>
      <c r="F910" s="6"/>
      <c r="G910" s="11"/>
    </row>
    <row r="911" ht="14.25" customHeight="1">
      <c r="C911" s="11"/>
      <c r="F911" s="6"/>
      <c r="G911" s="11"/>
    </row>
    <row r="912" ht="14.25" customHeight="1">
      <c r="C912" s="11"/>
      <c r="F912" s="6"/>
      <c r="G912" s="11"/>
    </row>
    <row r="913" ht="14.25" customHeight="1">
      <c r="C913" s="11"/>
      <c r="F913" s="6"/>
      <c r="G913" s="11"/>
    </row>
    <row r="914" ht="14.25" customHeight="1">
      <c r="C914" s="11"/>
      <c r="F914" s="6"/>
      <c r="G914" s="11"/>
    </row>
    <row r="915" ht="14.25" customHeight="1">
      <c r="C915" s="11"/>
      <c r="F915" s="6"/>
      <c r="G915" s="11"/>
    </row>
    <row r="916" ht="14.25" customHeight="1">
      <c r="C916" s="11"/>
      <c r="F916" s="6"/>
      <c r="G916" s="11"/>
    </row>
    <row r="917" ht="14.25" customHeight="1">
      <c r="C917" s="11"/>
      <c r="F917" s="6"/>
      <c r="G917" s="11"/>
    </row>
    <row r="918" ht="14.25" customHeight="1">
      <c r="C918" s="11"/>
      <c r="F918" s="6"/>
      <c r="G918" s="11"/>
    </row>
    <row r="919" ht="14.25" customHeight="1">
      <c r="C919" s="11"/>
      <c r="F919" s="6"/>
      <c r="G919" s="11"/>
    </row>
    <row r="920" ht="14.25" customHeight="1">
      <c r="C920" s="11"/>
      <c r="F920" s="6"/>
      <c r="G920" s="11"/>
    </row>
    <row r="921" ht="14.25" customHeight="1">
      <c r="C921" s="11"/>
      <c r="F921" s="6"/>
      <c r="G921" s="11"/>
    </row>
    <row r="922" ht="14.25" customHeight="1">
      <c r="C922" s="11"/>
      <c r="F922" s="6"/>
      <c r="G922" s="11"/>
    </row>
    <row r="923" ht="14.25" customHeight="1">
      <c r="C923" s="11"/>
      <c r="F923" s="6"/>
      <c r="G923" s="11"/>
    </row>
    <row r="924" ht="14.25" customHeight="1">
      <c r="C924" s="11"/>
      <c r="F924" s="6"/>
      <c r="G924" s="11"/>
    </row>
    <row r="925" ht="14.25" customHeight="1">
      <c r="C925" s="11"/>
      <c r="F925" s="6"/>
      <c r="G925" s="11"/>
    </row>
    <row r="926" ht="14.25" customHeight="1">
      <c r="C926" s="11"/>
      <c r="F926" s="6"/>
      <c r="G926" s="11"/>
    </row>
    <row r="927" ht="14.25" customHeight="1">
      <c r="C927" s="11"/>
      <c r="F927" s="6"/>
      <c r="G927" s="11"/>
    </row>
    <row r="928" ht="14.25" customHeight="1">
      <c r="C928" s="11"/>
      <c r="F928" s="6"/>
      <c r="G928" s="11"/>
    </row>
    <row r="929" ht="14.25" customHeight="1">
      <c r="C929" s="11"/>
      <c r="F929" s="6"/>
      <c r="G929" s="11"/>
    </row>
    <row r="930" ht="14.25" customHeight="1">
      <c r="C930" s="11"/>
      <c r="F930" s="6"/>
      <c r="G930" s="11"/>
    </row>
    <row r="931" ht="14.25" customHeight="1">
      <c r="C931" s="11"/>
      <c r="F931" s="6"/>
      <c r="G931" s="11"/>
    </row>
    <row r="932" ht="14.25" customHeight="1">
      <c r="C932" s="11"/>
      <c r="F932" s="6"/>
      <c r="G932" s="11"/>
    </row>
    <row r="933" ht="14.25" customHeight="1">
      <c r="C933" s="11"/>
      <c r="F933" s="6"/>
      <c r="G933" s="11"/>
    </row>
    <row r="934" ht="14.25" customHeight="1">
      <c r="C934" s="11"/>
      <c r="F934" s="6"/>
      <c r="G934" s="11"/>
    </row>
    <row r="935" ht="14.25" customHeight="1">
      <c r="C935" s="11"/>
      <c r="F935" s="6"/>
      <c r="G935" s="11"/>
    </row>
    <row r="936" ht="14.25" customHeight="1">
      <c r="C936" s="11"/>
      <c r="F936" s="6"/>
      <c r="G936" s="11"/>
    </row>
    <row r="937" ht="14.25" customHeight="1">
      <c r="C937" s="11"/>
      <c r="F937" s="6"/>
      <c r="G937" s="11"/>
    </row>
    <row r="938" ht="14.25" customHeight="1">
      <c r="C938" s="11"/>
      <c r="F938" s="6"/>
      <c r="G938" s="11"/>
    </row>
    <row r="939" ht="14.25" customHeight="1">
      <c r="C939" s="11"/>
      <c r="F939" s="6"/>
      <c r="G939" s="11"/>
    </row>
    <row r="940" ht="14.25" customHeight="1">
      <c r="C940" s="11"/>
      <c r="F940" s="6"/>
      <c r="G940" s="11"/>
    </row>
    <row r="941" ht="14.25" customHeight="1">
      <c r="C941" s="11"/>
      <c r="F941" s="6"/>
      <c r="G941" s="11"/>
    </row>
    <row r="942" ht="14.25" customHeight="1">
      <c r="C942" s="11"/>
      <c r="F942" s="6"/>
      <c r="G942" s="11"/>
    </row>
    <row r="943" ht="14.25" customHeight="1">
      <c r="C943" s="11"/>
      <c r="F943" s="6"/>
      <c r="G943" s="11"/>
    </row>
    <row r="944" ht="14.25" customHeight="1">
      <c r="C944" s="11"/>
      <c r="F944" s="6"/>
      <c r="G944" s="11"/>
    </row>
    <row r="945" ht="14.25" customHeight="1">
      <c r="C945" s="11"/>
      <c r="F945" s="6"/>
      <c r="G945" s="11"/>
    </row>
    <row r="946" ht="14.25" customHeight="1">
      <c r="C946" s="11"/>
      <c r="F946" s="6"/>
      <c r="G946" s="11"/>
    </row>
    <row r="947" ht="14.25" customHeight="1">
      <c r="C947" s="11"/>
      <c r="F947" s="6"/>
      <c r="G947" s="11"/>
    </row>
    <row r="948" ht="14.25" customHeight="1">
      <c r="C948" s="11"/>
      <c r="F948" s="6"/>
      <c r="G948" s="11"/>
    </row>
    <row r="949" ht="14.25" customHeight="1">
      <c r="C949" s="11"/>
      <c r="F949" s="6"/>
      <c r="G949" s="11"/>
    </row>
    <row r="950" ht="14.25" customHeight="1">
      <c r="C950" s="11"/>
      <c r="F950" s="6"/>
      <c r="G950" s="11"/>
    </row>
    <row r="951" ht="14.25" customHeight="1">
      <c r="C951" s="11"/>
      <c r="F951" s="6"/>
      <c r="G951" s="11"/>
    </row>
    <row r="952" ht="14.25" customHeight="1">
      <c r="C952" s="11"/>
      <c r="F952" s="6"/>
      <c r="G952" s="11"/>
    </row>
    <row r="953" ht="14.25" customHeight="1">
      <c r="C953" s="11"/>
      <c r="F953" s="6"/>
      <c r="G953" s="11"/>
    </row>
    <row r="954" ht="14.25" customHeight="1">
      <c r="C954" s="11"/>
      <c r="F954" s="6"/>
      <c r="G954" s="11"/>
    </row>
    <row r="955" ht="14.25" customHeight="1">
      <c r="C955" s="11"/>
      <c r="F955" s="6"/>
      <c r="G955" s="11"/>
    </row>
    <row r="956" ht="14.25" customHeight="1">
      <c r="C956" s="11"/>
      <c r="F956" s="6"/>
      <c r="G956" s="11"/>
    </row>
    <row r="957" ht="14.25" customHeight="1">
      <c r="C957" s="11"/>
      <c r="F957" s="6"/>
      <c r="G957" s="11"/>
    </row>
    <row r="958" ht="14.25" customHeight="1">
      <c r="C958" s="11"/>
      <c r="F958" s="6"/>
      <c r="G958" s="11"/>
    </row>
    <row r="959" ht="14.25" customHeight="1">
      <c r="C959" s="11"/>
      <c r="F959" s="6"/>
      <c r="G959" s="11"/>
    </row>
    <row r="960" ht="14.25" customHeight="1">
      <c r="C960" s="11"/>
      <c r="F960" s="6"/>
      <c r="G960" s="11"/>
    </row>
    <row r="961" ht="14.25" customHeight="1">
      <c r="C961" s="11"/>
      <c r="F961" s="6"/>
      <c r="G961" s="11"/>
    </row>
    <row r="962" ht="14.25" customHeight="1">
      <c r="C962" s="11"/>
      <c r="F962" s="6"/>
      <c r="G962" s="11"/>
    </row>
    <row r="963" ht="14.25" customHeight="1">
      <c r="C963" s="11"/>
      <c r="F963" s="6"/>
      <c r="G963" s="11"/>
    </row>
    <row r="964" ht="14.25" customHeight="1">
      <c r="C964" s="11"/>
      <c r="F964" s="6"/>
      <c r="G964" s="11"/>
    </row>
    <row r="965" ht="14.25" customHeight="1">
      <c r="C965" s="11"/>
      <c r="F965" s="6"/>
      <c r="G965" s="11"/>
    </row>
    <row r="966" ht="14.25" customHeight="1">
      <c r="C966" s="11"/>
      <c r="F966" s="6"/>
      <c r="G966" s="11"/>
    </row>
    <row r="967" ht="14.25" customHeight="1">
      <c r="C967" s="11"/>
      <c r="F967" s="6"/>
      <c r="G967" s="11"/>
    </row>
    <row r="968" ht="14.25" customHeight="1">
      <c r="C968" s="11"/>
      <c r="F968" s="6"/>
      <c r="G968" s="11"/>
    </row>
    <row r="969" ht="14.25" customHeight="1">
      <c r="C969" s="11"/>
      <c r="F969" s="6"/>
      <c r="G969" s="11"/>
    </row>
    <row r="970" ht="14.25" customHeight="1">
      <c r="C970" s="11"/>
      <c r="F970" s="6"/>
      <c r="G970" s="11"/>
    </row>
    <row r="971" ht="14.25" customHeight="1">
      <c r="C971" s="11"/>
      <c r="F971" s="6"/>
      <c r="G971" s="11"/>
    </row>
    <row r="972" ht="14.25" customHeight="1">
      <c r="C972" s="11"/>
      <c r="F972" s="6"/>
      <c r="G972" s="11"/>
    </row>
    <row r="973" ht="14.25" customHeight="1">
      <c r="C973" s="11"/>
      <c r="F973" s="6"/>
      <c r="G973" s="11"/>
    </row>
    <row r="974" ht="14.25" customHeight="1">
      <c r="C974" s="11"/>
      <c r="F974" s="6"/>
      <c r="G974" s="11"/>
    </row>
    <row r="975" ht="14.25" customHeight="1">
      <c r="C975" s="11"/>
      <c r="F975" s="6"/>
      <c r="G975" s="11"/>
    </row>
    <row r="976" ht="14.25" customHeight="1">
      <c r="C976" s="11"/>
      <c r="F976" s="6"/>
      <c r="G976" s="11"/>
    </row>
    <row r="977" ht="14.25" customHeight="1">
      <c r="C977" s="11"/>
      <c r="F977" s="6"/>
      <c r="G977" s="11"/>
    </row>
    <row r="978" ht="14.25" customHeight="1">
      <c r="C978" s="11"/>
      <c r="F978" s="6"/>
      <c r="G978" s="11"/>
    </row>
    <row r="979" ht="14.25" customHeight="1">
      <c r="C979" s="11"/>
      <c r="F979" s="6"/>
      <c r="G979" s="11"/>
    </row>
    <row r="980" ht="14.25" customHeight="1">
      <c r="C980" s="11"/>
      <c r="F980" s="6"/>
      <c r="G980" s="11"/>
    </row>
    <row r="981" ht="14.25" customHeight="1">
      <c r="C981" s="11"/>
      <c r="F981" s="6"/>
      <c r="G981" s="11"/>
    </row>
    <row r="982" ht="14.25" customHeight="1">
      <c r="C982" s="11"/>
      <c r="F982" s="6"/>
      <c r="G982" s="11"/>
    </row>
    <row r="983" ht="14.25" customHeight="1">
      <c r="C983" s="11"/>
      <c r="F983" s="6"/>
      <c r="G983" s="11"/>
    </row>
    <row r="984" ht="14.25" customHeight="1">
      <c r="C984" s="11"/>
      <c r="F984" s="6"/>
      <c r="G984" s="11"/>
    </row>
    <row r="985" ht="14.25" customHeight="1">
      <c r="C985" s="11"/>
      <c r="F985" s="6"/>
      <c r="G985" s="11"/>
    </row>
    <row r="986" ht="14.25" customHeight="1">
      <c r="C986" s="11"/>
      <c r="F986" s="6"/>
      <c r="G986" s="11"/>
    </row>
    <row r="987" ht="14.25" customHeight="1">
      <c r="C987" s="11"/>
      <c r="F987" s="6"/>
      <c r="G987" s="11"/>
    </row>
    <row r="988" ht="14.25" customHeight="1">
      <c r="C988" s="11"/>
      <c r="F988" s="6"/>
      <c r="G988" s="11"/>
    </row>
    <row r="989" ht="14.25" customHeight="1">
      <c r="C989" s="11"/>
      <c r="F989" s="6"/>
      <c r="G989" s="11"/>
    </row>
    <row r="990" ht="14.25" customHeight="1">
      <c r="C990" s="11"/>
      <c r="F990" s="6"/>
      <c r="G990" s="11"/>
    </row>
    <row r="991" ht="14.25" customHeight="1">
      <c r="C991" s="11"/>
      <c r="F991" s="6"/>
      <c r="G991" s="11"/>
    </row>
    <row r="992" ht="14.25" customHeight="1">
      <c r="C992" s="11"/>
      <c r="F992" s="6"/>
      <c r="G992" s="11"/>
    </row>
    <row r="993" ht="14.25" customHeight="1">
      <c r="C993" s="11"/>
      <c r="F993" s="6"/>
      <c r="G993" s="11"/>
    </row>
    <row r="994" ht="14.25" customHeight="1">
      <c r="C994" s="11"/>
      <c r="F994" s="6"/>
      <c r="G994" s="11"/>
    </row>
    <row r="995" ht="14.25" customHeight="1">
      <c r="C995" s="11"/>
      <c r="F995" s="6"/>
      <c r="G995" s="11"/>
    </row>
    <row r="996" ht="14.25" customHeight="1">
      <c r="C996" s="11"/>
      <c r="F996" s="6"/>
      <c r="G996" s="11"/>
    </row>
    <row r="997" ht="14.25" customHeight="1">
      <c r="C997" s="11"/>
      <c r="F997" s="6"/>
      <c r="G997" s="11"/>
    </row>
    <row r="998" ht="14.25" customHeight="1">
      <c r="C998" s="11"/>
      <c r="F998" s="6"/>
      <c r="G998" s="11"/>
    </row>
    <row r="999" ht="14.25" customHeight="1">
      <c r="C999" s="11"/>
      <c r="F999" s="6"/>
      <c r="G999" s="11"/>
    </row>
    <row r="1000" ht="14.25" customHeight="1">
      <c r="C1000" s="11"/>
      <c r="F1000" s="6"/>
      <c r="G1000" s="11"/>
    </row>
  </sheetData>
  <dataValidations>
    <dataValidation type="list" allowBlank="1" showErrorMessage="1" sqref="E4 E21 E38 E123 E140 E157 E174 E191 E208 E225 E231">
      <formula1>$J$1:$J$2</formula1>
    </dataValidation>
    <dataValidation type="list" allowBlank="1" showErrorMessage="1" sqref="H4:H122 D4:D233">
      <formula1>$I$1:$I$3</formula1>
    </dataValidation>
    <dataValidation type="list" allowBlank="1" showErrorMessage="1" sqref="B4:B20 B22:B37 B39:B54 B56:B71 B73:B88 B90:B105 B107:B122 B124:B139 B141:B156 B158:B173 B175:B190 B192:B207 B209:B224 B226:B230 B232:B233">
      <formula1>$K$1:$K$3</formula1>
    </dataValidation>
    <dataValidation type="list" allowBlank="1" showErrorMessage="1" sqref="E5:E20 E22:E37 E39:E122 E124:E139 E141:E156 E158:E173 E175:E190 E192:E207 E209:E224 E226:E230 E232:E233">
      <formula1>$J$1:$J$3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7.29"/>
    <col customWidth="1" min="3" max="3" width="21.14"/>
    <col customWidth="1" min="4" max="4" width="12.43"/>
    <col customWidth="1" min="5" max="5" width="37.86"/>
    <col customWidth="1" min="6" max="6" width="8.71"/>
    <col customWidth="1" min="7" max="8" width="13.86"/>
    <col customWidth="1" min="9" max="26" width="8.71"/>
  </cols>
  <sheetData>
    <row r="1" ht="14.25" customHeight="1">
      <c r="A1" s="65" t="s">
        <v>511</v>
      </c>
    </row>
    <row r="2" ht="14.25" customHeight="1">
      <c r="G2" s="66" t="s">
        <v>512</v>
      </c>
      <c r="H2" s="67"/>
    </row>
    <row r="3" ht="14.25" customHeight="1">
      <c r="B3" s="33" t="s">
        <v>513</v>
      </c>
      <c r="C3" s="33" t="s">
        <v>9</v>
      </c>
      <c r="D3" s="33" t="s">
        <v>10</v>
      </c>
      <c r="E3" s="33" t="s">
        <v>12</v>
      </c>
      <c r="G3" s="68" t="s">
        <v>514</v>
      </c>
      <c r="H3" s="69"/>
    </row>
    <row r="4" ht="14.25" customHeight="1">
      <c r="B4" s="33" t="str">
        <f>IF('IO List'!B4="IOs",CONCATENATE('IO List'!A4),"")</f>
        <v/>
      </c>
      <c r="C4" s="33" t="str">
        <f>IF('IO List'!B4="IOs",CONCATENATE("AT %",'IO List'!C4),"")</f>
        <v/>
      </c>
      <c r="D4" s="33" t="str">
        <f>IF('IO List'!B4="IOs",CONCATENATE(": ",'IO List'!D4,";"),"")</f>
        <v/>
      </c>
      <c r="E4" s="33" t="str">
        <f>IF('IO List'!B4="IOs",CONCATENATE("// ",'IO List'!F4),"")</f>
        <v/>
      </c>
      <c r="G4" s="70" t="str">
        <f t="shared" ref="G4:G287" si="1">IF(D4=": BOOL;","Digital","Group")</f>
        <v>Group</v>
      </c>
      <c r="H4" s="70" t="str">
        <f>IF('IO List'!E4="Input","Write","Read")</f>
        <v>Read</v>
      </c>
    </row>
    <row r="5" ht="14.25" customHeight="1">
      <c r="B5" s="33" t="str">
        <f>IF('IO List'!B5="IOs",CONCATENATE('IO List'!A5),"")</f>
        <v>SOP700_S1</v>
      </c>
      <c r="C5" s="33" t="str">
        <f>IF('IO List'!B5="IOs",CONCATENATE("AT %",'IO List'!C5),"")</f>
        <v>AT %MX0.0</v>
      </c>
      <c r="D5" s="33" t="str">
        <f>IF('IO List'!B5="IOs",CONCATENATE(": ",'IO List'!D5,";"),"")</f>
        <v>: BOOL;</v>
      </c>
      <c r="E5" s="33" t="str">
        <f>IF('IO List'!B5="IOs",CONCATENATE("// ",'IO List'!F5),"")</f>
        <v>// Control Voltage On</v>
      </c>
      <c r="G5" s="70" t="str">
        <f t="shared" si="1"/>
        <v>Digital</v>
      </c>
      <c r="H5" s="70" t="str">
        <f>IF('IO List'!E5="Input","Write","Read")</f>
        <v>Write</v>
      </c>
    </row>
    <row r="6" ht="14.25" customHeight="1">
      <c r="B6" s="33" t="str">
        <f>IF('IO List'!B6="IOs",CONCATENATE('IO List'!A6),"")</f>
        <v/>
      </c>
      <c r="C6" s="33" t="str">
        <f>IF('IO List'!B6="IOs",CONCATENATE("AT %",'IO List'!C6),"")</f>
        <v/>
      </c>
      <c r="D6" s="33" t="str">
        <f>IF('IO List'!B6="IOs",CONCATENATE(": ",'IO List'!D6,";"),"")</f>
        <v/>
      </c>
      <c r="E6" s="33" t="str">
        <f>IF('IO List'!B6="IOs",CONCATENATE("// ",'IO List'!F6),"")</f>
        <v/>
      </c>
      <c r="G6" s="70" t="str">
        <f t="shared" si="1"/>
        <v>Group</v>
      </c>
      <c r="H6" s="70" t="str">
        <f>IF('IO List'!E6="Input","Write","Read")</f>
        <v>Write</v>
      </c>
    </row>
    <row r="7" ht="14.25" customHeight="1">
      <c r="B7" s="33" t="str">
        <f>IF('IO List'!B7="IOs",CONCATENATE('IO List'!A7),"")</f>
        <v/>
      </c>
      <c r="C7" s="33" t="str">
        <f>IF('IO List'!B7="IOs",CONCATENATE("AT %",'IO List'!C7),"")</f>
        <v/>
      </c>
      <c r="D7" s="33" t="str">
        <f>IF('IO List'!B7="IOs",CONCATENATE(": ",'IO List'!D7,";"),"")</f>
        <v/>
      </c>
      <c r="E7" s="33" t="str">
        <f>IF('IO List'!B7="IOs",CONCATENATE("// ",'IO List'!F7),"")</f>
        <v/>
      </c>
      <c r="G7" s="70" t="str">
        <f t="shared" si="1"/>
        <v>Group</v>
      </c>
      <c r="H7" s="70" t="str">
        <f>IF('IO List'!E7="Input","Write","Read")</f>
        <v>Write</v>
      </c>
    </row>
    <row r="8" ht="14.25" customHeight="1">
      <c r="B8" s="33" t="str">
        <f>IF('IO List'!B8="IOs",CONCATENATE('IO List'!A8),"")</f>
        <v/>
      </c>
      <c r="C8" s="33" t="str">
        <f>IF('IO List'!B8="IOs",CONCATENATE("AT %",'IO List'!C8),"")</f>
        <v/>
      </c>
      <c r="D8" s="33" t="str">
        <f>IF('IO List'!B8="IOs",CONCATENATE(": ",'IO List'!D8,";"),"")</f>
        <v/>
      </c>
      <c r="E8" s="33" t="str">
        <f>IF('IO List'!B8="IOs",CONCATENATE("// ",'IO List'!F8),"")</f>
        <v/>
      </c>
      <c r="G8" s="70" t="str">
        <f t="shared" si="1"/>
        <v>Group</v>
      </c>
      <c r="H8" s="70" t="str">
        <f>IF('IO List'!E8="Input","Write","Read")</f>
        <v>Read</v>
      </c>
    </row>
    <row r="9" ht="14.25" customHeight="1">
      <c r="B9" s="33" t="str">
        <f>IF('IO List'!B9="IOs",CONCATENATE('IO List'!A9),"")</f>
        <v/>
      </c>
      <c r="C9" s="33" t="str">
        <f>IF('IO List'!B9="IOs",CONCATENATE("AT %",'IO List'!C9),"")</f>
        <v/>
      </c>
      <c r="D9" s="33" t="str">
        <f>IF('IO List'!B9="IOs",CONCATENATE(": ",'IO List'!D9,";"),"")</f>
        <v/>
      </c>
      <c r="E9" s="33" t="str">
        <f>IF('IO List'!B9="IOs",CONCATENATE("// ",'IO List'!F9),"")</f>
        <v/>
      </c>
      <c r="G9" s="70" t="str">
        <f t="shared" si="1"/>
        <v>Group</v>
      </c>
      <c r="H9" s="70" t="str">
        <f>IF('IO List'!E9="Input","Write","Read")</f>
        <v>Write</v>
      </c>
    </row>
    <row r="10" ht="14.25" customHeight="1">
      <c r="B10" s="33" t="str">
        <f>IF('IO List'!B10="IOs",CONCATENATE('IO List'!A10),"")</f>
        <v/>
      </c>
      <c r="C10" s="33" t="str">
        <f>IF('IO List'!B10="IOs",CONCATENATE("AT %",'IO List'!C10),"")</f>
        <v/>
      </c>
      <c r="D10" s="33" t="str">
        <f>IF('IO List'!B10="IOs",CONCATENATE(": ",'IO List'!D10,";"),"")</f>
        <v/>
      </c>
      <c r="E10" s="33" t="str">
        <f>IF('IO List'!B10="IOs",CONCATENATE("// ",'IO List'!F10),"")</f>
        <v/>
      </c>
      <c r="G10" s="70" t="str">
        <f t="shared" si="1"/>
        <v>Group</v>
      </c>
      <c r="H10" s="70" t="str">
        <f>IF('IO List'!E10="Input","Write","Read")</f>
        <v>Write</v>
      </c>
    </row>
    <row r="11" ht="14.25" customHeight="1">
      <c r="B11" s="33" t="str">
        <f>IF('IO List'!B11="IOs",CONCATENATE('IO List'!A11),"")</f>
        <v/>
      </c>
      <c r="C11" s="33" t="str">
        <f>IF('IO List'!B11="IOs",CONCATENATE("AT %",'IO List'!C11),"")</f>
        <v/>
      </c>
      <c r="D11" s="33" t="str">
        <f>IF('IO List'!B11="IOs",CONCATENATE(": ",'IO List'!D11,";"),"")</f>
        <v/>
      </c>
      <c r="E11" s="33" t="str">
        <f>IF('IO List'!B11="IOs",CONCATENATE("// ",'IO List'!F11),"")</f>
        <v/>
      </c>
      <c r="G11" s="70" t="str">
        <f t="shared" si="1"/>
        <v>Group</v>
      </c>
      <c r="H11" s="70" t="str">
        <f>IF('IO List'!E11="Input","Write","Read")</f>
        <v>Write</v>
      </c>
    </row>
    <row r="12" ht="14.25" customHeight="1">
      <c r="B12" s="33" t="str">
        <f>IF('IO List'!B12="IOs",CONCATENATE('IO List'!A12),"")</f>
        <v/>
      </c>
      <c r="C12" s="33" t="str">
        <f>IF('IO List'!B12="IOs",CONCATENATE("AT %",'IO List'!C12),"")</f>
        <v/>
      </c>
      <c r="D12" s="33" t="str">
        <f>IF('IO List'!B12="IOs",CONCATENATE(": ",'IO List'!D12,";"),"")</f>
        <v/>
      </c>
      <c r="E12" s="33" t="str">
        <f>IF('IO List'!B12="IOs",CONCATENATE("// ",'IO List'!F12),"")</f>
        <v/>
      </c>
      <c r="G12" s="70" t="str">
        <f t="shared" si="1"/>
        <v>Group</v>
      </c>
      <c r="H12" s="70" t="str">
        <f>IF('IO List'!E12="Input","Write","Read")</f>
        <v>Write</v>
      </c>
    </row>
    <row r="13" ht="14.25" customHeight="1">
      <c r="B13" s="33" t="str">
        <f>IF('IO List'!B13="IOs",CONCATENATE('IO List'!A13),"")</f>
        <v/>
      </c>
      <c r="C13" s="33" t="str">
        <f>IF('IO List'!B13="IOs",CONCATENATE("AT %",'IO List'!C13),"")</f>
        <v/>
      </c>
      <c r="D13" s="33" t="str">
        <f>IF('IO List'!B13="IOs",CONCATENATE(": ",'IO List'!D13,";"),"")</f>
        <v/>
      </c>
      <c r="E13" s="33" t="str">
        <f>IF('IO List'!B13="IOs",CONCATENATE("// ",'IO List'!F13),"")</f>
        <v/>
      </c>
      <c r="G13" s="70" t="str">
        <f t="shared" si="1"/>
        <v>Group</v>
      </c>
      <c r="H13" s="70" t="str">
        <f>IF('IO List'!E13="Input","Write","Read")</f>
        <v>Read</v>
      </c>
    </row>
    <row r="14" ht="14.25" customHeight="1">
      <c r="B14" s="33" t="str">
        <f>IF('IO List'!B14="IOs",CONCATENATE('IO List'!A14),"")</f>
        <v/>
      </c>
      <c r="C14" s="33" t="str">
        <f>IF('IO List'!B14="IOs",CONCATENATE("AT %",'IO List'!C14),"")</f>
        <v/>
      </c>
      <c r="D14" s="33" t="str">
        <f>IF('IO List'!B14="IOs",CONCATENATE(": ",'IO List'!D14,";"),"")</f>
        <v/>
      </c>
      <c r="E14" s="33" t="str">
        <f>IF('IO List'!B14="IOs",CONCATENATE("// ",'IO List'!F14),"")</f>
        <v/>
      </c>
      <c r="G14" s="70" t="str">
        <f t="shared" si="1"/>
        <v>Group</v>
      </c>
      <c r="H14" s="70" t="str">
        <f>IF('IO List'!E14="Input","Write","Read")</f>
        <v>Write</v>
      </c>
    </row>
    <row r="15" ht="14.25" customHeight="1">
      <c r="B15" s="33" t="str">
        <f>IF('IO List'!B15="IOs",CONCATENATE('IO List'!A15),"")</f>
        <v>SOP700_NS1</v>
      </c>
      <c r="C15" s="33" t="str">
        <f>IF('IO List'!B15="IOs",CONCATENATE("AT %",'IO List'!C15),"")</f>
        <v>AT %MX1.2</v>
      </c>
      <c r="D15" s="33" t="str">
        <f>IF('IO List'!B15="IOs",CONCATENATE(": ",'IO List'!D15,";"),"")</f>
        <v>: BOOL;</v>
      </c>
      <c r="E15" s="33" t="str">
        <f>IF('IO List'!B15="IOs",CONCATENATE("// ",'IO List'!F15),"")</f>
        <v>// Emergency Stop (NC)</v>
      </c>
      <c r="G15" s="70" t="str">
        <f t="shared" si="1"/>
        <v>Digital</v>
      </c>
      <c r="H15" s="70" t="str">
        <f>IF('IO List'!E15="Input","Write","Read")</f>
        <v>Write</v>
      </c>
    </row>
    <row r="16" ht="14.25" customHeight="1">
      <c r="B16" s="33" t="str">
        <f>IF('IO List'!B16="IOs",CONCATENATE('IO List'!A16),"")</f>
        <v/>
      </c>
      <c r="C16" s="33" t="str">
        <f>IF('IO List'!B16="IOs",CONCATENATE("AT %",'IO List'!C16),"")</f>
        <v/>
      </c>
      <c r="D16" s="33" t="str">
        <f>IF('IO List'!B16="IOs",CONCATENATE(": ",'IO List'!D16,";"),"")</f>
        <v/>
      </c>
      <c r="E16" s="33" t="str">
        <f>IF('IO List'!B16="IOs",CONCATENATE("// ",'IO List'!F16),"")</f>
        <v/>
      </c>
      <c r="G16" s="70" t="str">
        <f t="shared" si="1"/>
        <v>Group</v>
      </c>
      <c r="H16" s="70" t="str">
        <f>IF('IO List'!E16="Input","Write","Read")</f>
        <v>Write</v>
      </c>
    </row>
    <row r="17" ht="14.25" customHeight="1">
      <c r="B17" s="33" t="str">
        <f>IF('IO List'!B17="IOs",CONCATENATE('IO List'!A17),"")</f>
        <v>SOP720_HMI_NS1</v>
      </c>
      <c r="C17" s="33" t="str">
        <f>IF('IO List'!B17="IOs",CONCATENATE("AT %",'IO List'!C17),"")</f>
        <v>AT %MX1.4</v>
      </c>
      <c r="D17" s="33" t="str">
        <f>IF('IO List'!B17="IOs",CONCATENATE(": ",'IO List'!D17,";"),"")</f>
        <v>: BOOL;</v>
      </c>
      <c r="E17" s="33" t="str">
        <f>IF('IO List'!B17="IOs",CONCATENATE("// ",'IO List'!F17),"")</f>
        <v>// Emergency Stop (NC)</v>
      </c>
      <c r="G17" s="70" t="str">
        <f t="shared" si="1"/>
        <v>Digital</v>
      </c>
      <c r="H17" s="70" t="str">
        <f>IF('IO List'!E17="Input","Write","Read")</f>
        <v>Write</v>
      </c>
    </row>
    <row r="18" ht="14.25" customHeight="1">
      <c r="B18" s="33" t="str">
        <f>IF('IO List'!B18="IOs",CONCATENATE('IO List'!A18),"")</f>
        <v>SOP723_HMI_NS1</v>
      </c>
      <c r="C18" s="33" t="str">
        <f>IF('IO List'!B18="IOs",CONCATENATE("AT %",'IO List'!C18),"")</f>
        <v>AT %MX1.5</v>
      </c>
      <c r="D18" s="33" t="str">
        <f>IF('IO List'!B18="IOs",CONCATENATE(": ",'IO List'!D18,";"),"")</f>
        <v>: BOOL;</v>
      </c>
      <c r="E18" s="33" t="str">
        <f>IF('IO List'!B18="IOs",CONCATENATE("// ",'IO List'!F18),"")</f>
        <v>// Emergency Stop (NC)</v>
      </c>
      <c r="G18" s="70" t="str">
        <f t="shared" si="1"/>
        <v>Digital</v>
      </c>
      <c r="H18" s="70" t="str">
        <f>IF('IO List'!E18="Input","Write","Read")</f>
        <v>Write</v>
      </c>
    </row>
    <row r="19" ht="14.25" customHeight="1">
      <c r="B19" s="33" t="str">
        <f>IF('IO List'!B19="IOs",CONCATENATE('IO List'!A19),"")</f>
        <v/>
      </c>
      <c r="C19" s="33" t="str">
        <f>IF('IO List'!B19="IOs",CONCATENATE("AT %",'IO List'!C19),"")</f>
        <v/>
      </c>
      <c r="D19" s="33" t="str">
        <f>IF('IO List'!B19="IOs",CONCATENATE(": ",'IO List'!D19,";"),"")</f>
        <v/>
      </c>
      <c r="E19" s="33" t="str">
        <f>IF('IO List'!B19="IOs",CONCATENATE("// ",'IO List'!F19),"")</f>
        <v/>
      </c>
      <c r="G19" s="70" t="str">
        <f t="shared" si="1"/>
        <v>Group</v>
      </c>
      <c r="H19" s="70" t="str">
        <f>IF('IO List'!E19="Input","Write","Read")</f>
        <v>Read</v>
      </c>
    </row>
    <row r="20" ht="14.25" customHeight="1">
      <c r="B20" s="33" t="str">
        <f>IF('IO List'!B20="IOs",CONCATENATE('IO List'!A20),"")</f>
        <v/>
      </c>
      <c r="C20" s="33" t="str">
        <f>IF('IO List'!B20="IOs",CONCATENATE("AT %",'IO List'!C20),"")</f>
        <v/>
      </c>
      <c r="D20" s="33" t="str">
        <f>IF('IO List'!B20="IOs",CONCATENATE(": ",'IO List'!D20,";"),"")</f>
        <v/>
      </c>
      <c r="E20" s="33" t="str">
        <f>IF('IO List'!B20="IOs",CONCATENATE("// ",'IO List'!F20),"")</f>
        <v/>
      </c>
      <c r="G20" s="70" t="str">
        <f t="shared" si="1"/>
        <v>Group</v>
      </c>
      <c r="H20" s="70" t="str">
        <f>IF('IO List'!E20="Input","Write","Read")</f>
        <v>Read</v>
      </c>
    </row>
    <row r="21" ht="14.25" customHeight="1">
      <c r="B21" s="33" t="str">
        <f>IF('IO List'!B21="IOs",CONCATENATE('IO List'!A21),"")</f>
        <v/>
      </c>
      <c r="C21" s="33" t="str">
        <f>IF('IO List'!B21="IOs",CONCATENATE("AT %",'IO List'!C21),"")</f>
        <v/>
      </c>
      <c r="D21" s="33" t="str">
        <f>IF('IO List'!B21="IOs",CONCATENATE(": ",'IO List'!D21,";"),"")</f>
        <v/>
      </c>
      <c r="E21" s="33" t="str">
        <f>IF('IO List'!B21="IOs",CONCATENATE("// ",'IO List'!F21),"")</f>
        <v/>
      </c>
      <c r="G21" s="70" t="str">
        <f t="shared" si="1"/>
        <v>Group</v>
      </c>
      <c r="H21" s="70" t="str">
        <f>IF('IO List'!E21="Input","Write","Read")</f>
        <v>Read</v>
      </c>
    </row>
    <row r="22" ht="14.25" customHeight="1">
      <c r="B22" s="33" t="str">
        <f>IF('IO List'!B22="IOs",CONCATENATE('IO List'!A22),"")</f>
        <v>SOP750_FQ1</v>
      </c>
      <c r="C22" s="33" t="str">
        <f>IF('IO List'!B22="IOs",CONCATENATE("AT %",'IO List'!C22),"")</f>
        <v>AT %MX2.0</v>
      </c>
      <c r="D22" s="33" t="str">
        <f>IF('IO List'!B22="IOs",CONCATENATE(": ",'IO List'!D22,";"),"")</f>
        <v>: BOOL;</v>
      </c>
      <c r="E22" s="33" t="str">
        <f>IF('IO List'!B22="IOs",CONCATENATE("// ",'IO List'!F22),"")</f>
        <v>// Supply Power Line Circuit Breaker</v>
      </c>
      <c r="G22" s="70" t="str">
        <f t="shared" si="1"/>
        <v>Digital</v>
      </c>
      <c r="H22" s="70" t="str">
        <f>IF('IO List'!E22="Input","Write","Read")</f>
        <v>Write</v>
      </c>
    </row>
    <row r="23" ht="14.25" customHeight="1">
      <c r="B23" s="33" t="str">
        <f>IF('IO List'!B23="IOs",CONCATENATE('IO List'!A23),"")</f>
        <v>SOP751_FQ1</v>
      </c>
      <c r="C23" s="33" t="str">
        <f>IF('IO List'!B23="IOs",CONCATENATE("AT %",'IO List'!C23),"")</f>
        <v>AT %MX2.1</v>
      </c>
      <c r="D23" s="33" t="str">
        <f>IF('IO List'!B23="IOs",CONCATENATE(": ",'IO List'!D23,";"),"")</f>
        <v>: BOOL;</v>
      </c>
      <c r="E23" s="33" t="str">
        <f>IF('IO List'!B23="IOs",CONCATENATE("// ",'IO List'!F23),"")</f>
        <v>// Power Suply Prim. Protection</v>
      </c>
      <c r="G23" s="70" t="str">
        <f t="shared" si="1"/>
        <v>Digital</v>
      </c>
      <c r="H23" s="70" t="str">
        <f>IF('IO List'!E23="Input","Write","Read")</f>
        <v>Write</v>
      </c>
    </row>
    <row r="24" ht="14.25" customHeight="1">
      <c r="B24" s="33" t="str">
        <f>IF('IO List'!B24="IOs",CONCATENATE('IO List'!A24),"")</f>
        <v>SOP751_F10</v>
      </c>
      <c r="C24" s="33" t="str">
        <f>IF('IO List'!B24="IOs",CONCATENATE("AT %",'IO List'!C24),"")</f>
        <v>AT %MX2.2</v>
      </c>
      <c r="D24" s="33" t="str">
        <f>IF('IO List'!B24="IOs",CONCATENATE(": ",'IO List'!D24,";"),"")</f>
        <v>: BOOL;</v>
      </c>
      <c r="E24" s="33" t="str">
        <f>IF('IO List'!B24="IOs",CONCATENATE("// ",'IO List'!F24),"")</f>
        <v>// Power Suply Sec. Protection</v>
      </c>
      <c r="G24" s="70" t="str">
        <f t="shared" si="1"/>
        <v>Digital</v>
      </c>
      <c r="H24" s="70" t="str">
        <f>IF('IO List'!E24="Input","Write","Read")</f>
        <v>Write</v>
      </c>
    </row>
    <row r="25" ht="14.25" customHeight="1">
      <c r="B25" s="33" t="str">
        <f>IF('IO List'!B25="IOs",CONCATENATE('IO List'!A25),"")</f>
        <v>SOP751_F11</v>
      </c>
      <c r="C25" s="33" t="str">
        <f>IF('IO List'!B25="IOs",CONCATENATE("AT %",'IO List'!C25),"")</f>
        <v>AT %MX2.3</v>
      </c>
      <c r="D25" s="33" t="str">
        <f>IF('IO List'!B25="IOs",CONCATENATE(": ",'IO List'!D25,";"),"")</f>
        <v>: BOOL;</v>
      </c>
      <c r="E25" s="33" t="str">
        <f>IF('IO List'!B25="IOs",CONCATENATE("// ",'IO List'!F25),"")</f>
        <v>// PLC Input Protection</v>
      </c>
      <c r="G25" s="70" t="str">
        <f t="shared" si="1"/>
        <v>Digital</v>
      </c>
      <c r="H25" s="70" t="str">
        <f>IF('IO List'!E25="Input","Write","Read")</f>
        <v>Write</v>
      </c>
    </row>
    <row r="26" ht="14.25" customHeight="1">
      <c r="B26" s="33" t="str">
        <f>IF('IO List'!B26="IOs",CONCATENATE('IO List'!A26),"")</f>
        <v>SOP751_F12</v>
      </c>
      <c r="C26" s="33" t="str">
        <f>IF('IO List'!B26="IOs",CONCATENATE("AT %",'IO List'!C26),"")</f>
        <v>AT %MX2.4</v>
      </c>
      <c r="D26" s="33" t="str">
        <f>IF('IO List'!B26="IOs",CONCATENATE(": ",'IO List'!D26,";"),"")</f>
        <v>: BOOL;</v>
      </c>
      <c r="E26" s="33" t="str">
        <f>IF('IO List'!B26="IOs",CONCATENATE("// ",'IO List'!F26),"")</f>
        <v>// PLC Output Protection</v>
      </c>
      <c r="G26" s="70" t="str">
        <f t="shared" si="1"/>
        <v>Digital</v>
      </c>
      <c r="H26" s="70" t="str">
        <f>IF('IO List'!E26="Input","Write","Read")</f>
        <v>Write</v>
      </c>
    </row>
    <row r="27" ht="14.25" customHeight="1">
      <c r="B27" s="33" t="str">
        <f>IF('IO List'!B27="IOs",CONCATENATE('IO List'!A27),"")</f>
        <v>SOP751_F13</v>
      </c>
      <c r="C27" s="33" t="str">
        <f>IF('IO List'!B27="IOs",CONCATENATE("AT %",'IO List'!C27),"")</f>
        <v>AT %MX2.5</v>
      </c>
      <c r="D27" s="33" t="str">
        <f>IF('IO List'!B27="IOs",CONCATENATE(": ",'IO List'!D27,";"),"")</f>
        <v>: BOOL;</v>
      </c>
      <c r="E27" s="33" t="str">
        <f>IF('IO List'!B27="IOs",CONCATENATE("// ",'IO List'!F27),"")</f>
        <v>// Safety Circuit Protection</v>
      </c>
      <c r="G27" s="70" t="str">
        <f t="shared" si="1"/>
        <v>Digital</v>
      </c>
      <c r="H27" s="70" t="str">
        <f>IF('IO List'!E27="Input","Write","Read")</f>
        <v>Write</v>
      </c>
    </row>
    <row r="28" ht="14.25" customHeight="1">
      <c r="B28" s="33" t="str">
        <f>IF('IO List'!B28="IOs",CONCATENATE('IO List'!A28),"")</f>
        <v>SOP750_K1</v>
      </c>
      <c r="C28" s="33" t="str">
        <f>IF('IO List'!B28="IOs",CONCATENATE("AT %",'IO List'!C28),"")</f>
        <v>AT %MX2.6</v>
      </c>
      <c r="D28" s="33" t="str">
        <f>IF('IO List'!B28="IOs",CONCATENATE(": ",'IO List'!D28,";"),"")</f>
        <v>: BOOL;</v>
      </c>
      <c r="E28" s="33" t="str">
        <f>IF('IO List'!B28="IOs",CONCATENATE("// ",'IO List'!F28),"")</f>
        <v>// Safety Circuit OK</v>
      </c>
      <c r="G28" s="70" t="str">
        <f t="shared" si="1"/>
        <v>Digital</v>
      </c>
      <c r="H28" s="70" t="str">
        <f>IF('IO List'!E28="Input","Write","Read")</f>
        <v>Write</v>
      </c>
    </row>
    <row r="29" ht="14.25" customHeight="1">
      <c r="B29" s="33" t="str">
        <f>IF('IO List'!B29="IOs",CONCATENATE('IO List'!A29),"")</f>
        <v>SOP750_B1</v>
      </c>
      <c r="C29" s="33" t="str">
        <f>IF('IO List'!B29="IOs",CONCATENATE("AT %",'IO List'!C29),"")</f>
        <v>AT %MX2.7</v>
      </c>
      <c r="D29" s="33" t="str">
        <f>IF('IO List'!B29="IOs",CONCATENATE(": ",'IO List'!D29,";"),"")</f>
        <v>: BOOL;</v>
      </c>
      <c r="E29" s="33" t="str">
        <f>IF('IO List'!B29="IOs",CONCATENATE("// ",'IO List'!F29),"")</f>
        <v>// Pneumatic Pressure OK</v>
      </c>
      <c r="G29" s="70" t="str">
        <f t="shared" si="1"/>
        <v>Digital</v>
      </c>
      <c r="H29" s="70" t="str">
        <f>IF('IO List'!E29="Input","Write","Read")</f>
        <v>Write</v>
      </c>
    </row>
    <row r="30" ht="14.25" customHeight="1">
      <c r="B30" s="33" t="str">
        <f>IF('IO List'!B30="IOs",CONCATENATE('IO List'!A30),"")</f>
        <v/>
      </c>
      <c r="C30" s="33" t="str">
        <f>IF('IO List'!B30="IOs",CONCATENATE("AT %",'IO List'!C30),"")</f>
        <v/>
      </c>
      <c r="D30" s="33" t="str">
        <f>IF('IO List'!B30="IOs",CONCATENATE(": ",'IO List'!D30,";"),"")</f>
        <v/>
      </c>
      <c r="E30" s="33" t="str">
        <f>IF('IO List'!B30="IOs",CONCATENATE("// ",'IO List'!F30),"")</f>
        <v/>
      </c>
      <c r="G30" s="70" t="str">
        <f t="shared" si="1"/>
        <v>Group</v>
      </c>
      <c r="H30" s="70" t="str">
        <f>IF('IO List'!E30="Input","Write","Read")</f>
        <v>Write</v>
      </c>
    </row>
    <row r="31" ht="14.25" customHeight="1">
      <c r="B31" s="33" t="str">
        <f>IF('IO List'!B31="IOs",CONCATENATE('IO List'!A31),"")</f>
        <v>SOP750_K8</v>
      </c>
      <c r="C31" s="33" t="str">
        <f>IF('IO List'!B31="IOs",CONCATENATE("AT %",'IO List'!C31),"")</f>
        <v>AT %MX3.1</v>
      </c>
      <c r="D31" s="33" t="str">
        <f>IF('IO List'!B31="IOs",CONCATENATE(": ",'IO List'!D31,";"),"")</f>
        <v>: BOOL;</v>
      </c>
      <c r="E31" s="33" t="str">
        <f>IF('IO List'!B31="IOs",CONCATENATE("// ",'IO List'!F31),"")</f>
        <v>// Gate Unlock Confirmation</v>
      </c>
      <c r="G31" s="70" t="str">
        <f t="shared" si="1"/>
        <v>Digital</v>
      </c>
      <c r="H31" s="70" t="str">
        <f>IF('IO List'!E31="Input","Write","Read")</f>
        <v>Write</v>
      </c>
    </row>
    <row r="32" ht="14.25" customHeight="1">
      <c r="B32" s="33" t="str">
        <f>IF('IO List'!B32="IOs",CONCATENATE('IO List'!A32),"")</f>
        <v>SOP750_B2</v>
      </c>
      <c r="C32" s="33" t="str">
        <f>IF('IO List'!B32="IOs",CONCATENATE("AT %",'IO List'!C32),"")</f>
        <v>AT %MX3.2</v>
      </c>
      <c r="D32" s="33" t="str">
        <f>IF('IO List'!B32="IOs",CONCATENATE(": ",'IO List'!D32,";"),"")</f>
        <v>: BOOL;</v>
      </c>
      <c r="E32" s="33" t="str">
        <f>IF('IO List'!B32="IOs",CONCATENATE("// ",'IO List'!F32),"")</f>
        <v>// Gate Closed Sensor</v>
      </c>
      <c r="G32" s="70" t="str">
        <f t="shared" si="1"/>
        <v>Digital</v>
      </c>
      <c r="H32" s="70" t="str">
        <f>IF('IO List'!E32="Input","Write","Read")</f>
        <v>Write</v>
      </c>
    </row>
    <row r="33" ht="14.25" customHeight="1">
      <c r="B33" s="33" t="str">
        <f>IF('IO List'!B33="IOs",CONCATENATE('IO List'!A33),"")</f>
        <v>SOP750_B3</v>
      </c>
      <c r="C33" s="33" t="str">
        <f>IF('IO List'!B33="IOs",CONCATENATE("AT %",'IO List'!C33),"")</f>
        <v>AT %MX3.3</v>
      </c>
      <c r="D33" s="33" t="str">
        <f>IF('IO List'!B33="IOs",CONCATENATE(": ",'IO List'!D33,";"),"")</f>
        <v>: BOOL;</v>
      </c>
      <c r="E33" s="33" t="str">
        <f>IF('IO List'!B33="IOs",CONCATENATE("// ",'IO List'!F33),"")</f>
        <v>// Safety Mat Activated</v>
      </c>
      <c r="G33" s="70" t="str">
        <f t="shared" si="1"/>
        <v>Digital</v>
      </c>
      <c r="H33" s="70" t="str">
        <f>IF('IO List'!E33="Input","Write","Read")</f>
        <v>Write</v>
      </c>
    </row>
    <row r="34" ht="14.25" customHeight="1">
      <c r="B34" s="33" t="str">
        <f>IF('IO List'!B34="IOs",CONCATENATE('IO List'!A34),"")</f>
        <v>SOP740_RobotReady</v>
      </c>
      <c r="C34" s="33" t="str">
        <f>IF('IO List'!B34="IOs",CONCATENATE("AT %",'IO List'!C34),"")</f>
        <v>AT %MX3.4</v>
      </c>
      <c r="D34" s="33" t="str">
        <f>IF('IO List'!B34="IOs",CONCATENATE(": ",'IO List'!D34,";"),"")</f>
        <v>: BOOL;</v>
      </c>
      <c r="E34" s="33" t="str">
        <f>IF('IO List'!B34="IOs",CONCATENATE("// ",'IO List'!F34),"")</f>
        <v>// The robot is ready to move</v>
      </c>
      <c r="G34" s="70" t="str">
        <f t="shared" si="1"/>
        <v>Digital</v>
      </c>
      <c r="H34" s="70" t="str">
        <f>IF('IO List'!E34="Input","Write","Read")</f>
        <v>Write</v>
      </c>
    </row>
    <row r="35" ht="14.25" customHeight="1">
      <c r="B35" s="33" t="str">
        <f>IF('IO List'!B35="IOs",CONCATENATE('IO List'!A35),"")</f>
        <v>SOP740_ProductPlaced</v>
      </c>
      <c r="C35" s="33" t="str">
        <f>IF('IO List'!B35="IOs",CONCATENATE("AT %",'IO List'!C35),"")</f>
        <v>AT %MX3.5</v>
      </c>
      <c r="D35" s="33" t="str">
        <f>IF('IO List'!B35="IOs",CONCATENATE(": ",'IO List'!D35,";"),"")</f>
        <v>: BOOL;</v>
      </c>
      <c r="E35" s="33" t="str">
        <f>IF('IO List'!B35="IOs",CONCATENATE("// ",'IO List'!F35),"")</f>
        <v>// The robot has finished</v>
      </c>
      <c r="G35" s="70" t="str">
        <f t="shared" si="1"/>
        <v>Digital</v>
      </c>
      <c r="H35" s="70" t="str">
        <f>IF('IO List'!E35="Input","Write","Read")</f>
        <v>Write</v>
      </c>
    </row>
    <row r="36" ht="14.25" customHeight="1">
      <c r="B36" s="33" t="str">
        <f>IF('IO List'!B36="IOs",CONCATENATE('IO List'!A36),"")</f>
        <v/>
      </c>
      <c r="C36" s="33" t="str">
        <f>IF('IO List'!B36="IOs",CONCATENATE("AT %",'IO List'!C36),"")</f>
        <v/>
      </c>
      <c r="D36" s="33" t="str">
        <f>IF('IO List'!B36="IOs",CONCATENATE(": ",'IO List'!D36,";"),"")</f>
        <v/>
      </c>
      <c r="E36" s="33" t="str">
        <f>IF('IO List'!B36="IOs",CONCATENATE("// ",'IO List'!F36),"")</f>
        <v/>
      </c>
      <c r="G36" s="70" t="str">
        <f t="shared" si="1"/>
        <v>Group</v>
      </c>
      <c r="H36" s="70" t="str">
        <f>IF('IO List'!E36="Input","Write","Read")</f>
        <v>Read</v>
      </c>
    </row>
    <row r="37" ht="14.25" customHeight="1">
      <c r="B37" s="33" t="str">
        <f>IF('IO List'!B37="IOs",CONCATENATE('IO List'!A37),"")</f>
        <v/>
      </c>
      <c r="C37" s="33" t="str">
        <f>IF('IO List'!B37="IOs",CONCATENATE("AT %",'IO List'!C37),"")</f>
        <v/>
      </c>
      <c r="D37" s="33" t="str">
        <f>IF('IO List'!B37="IOs",CONCATENATE(": ",'IO List'!D37,";"),"")</f>
        <v/>
      </c>
      <c r="E37" s="33" t="str">
        <f>IF('IO List'!B37="IOs",CONCATENATE("// ",'IO List'!F37),"")</f>
        <v/>
      </c>
      <c r="G37" s="70" t="str">
        <f t="shared" si="1"/>
        <v>Group</v>
      </c>
      <c r="H37" s="70" t="str">
        <f>IF('IO List'!E37="Input","Write","Read")</f>
        <v>Read</v>
      </c>
    </row>
    <row r="38" ht="14.25" customHeight="1">
      <c r="B38" s="33" t="str">
        <f>IF('IO List'!B38="IOs",CONCATENATE('IO List'!A38),"")</f>
        <v/>
      </c>
      <c r="C38" s="33" t="str">
        <f>IF('IO List'!B38="IOs",CONCATENATE("AT %",'IO List'!C38),"")</f>
        <v/>
      </c>
      <c r="D38" s="33" t="str">
        <f>IF('IO List'!B38="IOs",CONCATENATE(": ",'IO List'!D38,";"),"")</f>
        <v/>
      </c>
      <c r="E38" s="33" t="str">
        <f>IF('IO List'!B38="IOs",CONCATENATE("// ",'IO List'!F38),"")</f>
        <v/>
      </c>
      <c r="G38" s="70" t="str">
        <f t="shared" si="1"/>
        <v>Group</v>
      </c>
      <c r="H38" s="70" t="str">
        <f>IF('IO List'!E38="Input","Write","Read")</f>
        <v>Read</v>
      </c>
    </row>
    <row r="39" ht="14.25" customHeight="1">
      <c r="B39" s="33" t="str">
        <f>IF('IO List'!B39="IOs",CONCATENATE('IO List'!A39),"")</f>
        <v>SOP710_FQ1</v>
      </c>
      <c r="C39" s="33" t="str">
        <f>IF('IO List'!B39="IOs",CONCATENATE("AT %",'IO List'!C39),"")</f>
        <v>AT %MX4.0</v>
      </c>
      <c r="D39" s="33" t="str">
        <f>IF('IO List'!B39="IOs",CONCATENATE(": ",'IO List'!D39,";"),"")</f>
        <v>: BOOL;</v>
      </c>
      <c r="E39" s="33" t="str">
        <f>IF('IO List'!B39="IOs",CONCATENATE("// ",'IO List'!F39),"")</f>
        <v>// Motor Protection Tripped (NC)</v>
      </c>
      <c r="G39" s="70" t="str">
        <f t="shared" si="1"/>
        <v>Digital</v>
      </c>
      <c r="H39" s="70" t="str">
        <f>IF('IO List'!E39="Input","Write","Read")</f>
        <v>Write</v>
      </c>
    </row>
    <row r="40" ht="14.25" customHeight="1">
      <c r="B40" s="33" t="str">
        <f>IF('IO List'!B40="IOs",CONCATENATE('IO List'!A40),"")</f>
        <v>SOP710_B1</v>
      </c>
      <c r="C40" s="33" t="str">
        <f>IF('IO List'!B40="IOs",CONCATENATE("AT %",'IO List'!C40),"")</f>
        <v>AT %MX4.1</v>
      </c>
      <c r="D40" s="33" t="str">
        <f>IF('IO List'!B40="IOs",CONCATENATE(": ",'IO List'!D40,";"),"")</f>
        <v>: BOOL;</v>
      </c>
      <c r="E40" s="33" t="str">
        <f>IF('IO List'!B40="IOs",CONCATENATE("// ",'IO List'!F40),"")</f>
        <v>// Conveyor Sensor</v>
      </c>
      <c r="G40" s="70" t="str">
        <f t="shared" si="1"/>
        <v>Digital</v>
      </c>
      <c r="H40" s="70" t="str">
        <f>IF('IO List'!E40="Input","Write","Read")</f>
        <v>Write</v>
      </c>
    </row>
    <row r="41" ht="14.25" customHeight="1">
      <c r="B41" s="33" t="str">
        <f>IF('IO List'!B41="IOs",CONCATENATE('IO List'!A41),"")</f>
        <v>SOP711_FQ1</v>
      </c>
      <c r="C41" s="33" t="str">
        <f>IF('IO List'!B41="IOs",CONCATENATE("AT %",'IO List'!C41),"")</f>
        <v>AT %MX4.2</v>
      </c>
      <c r="D41" s="33" t="str">
        <f>IF('IO List'!B41="IOs",CONCATENATE(": ",'IO List'!D41,";"),"")</f>
        <v>: BOOL;</v>
      </c>
      <c r="E41" s="33" t="str">
        <f>IF('IO List'!B41="IOs",CONCATENATE("// ",'IO List'!F41),"")</f>
        <v>// Motor Protection Tripped (NC)</v>
      </c>
      <c r="G41" s="70" t="str">
        <f t="shared" si="1"/>
        <v>Digital</v>
      </c>
      <c r="H41" s="70" t="str">
        <f>IF('IO List'!E41="Input","Write","Read")</f>
        <v>Write</v>
      </c>
    </row>
    <row r="42" ht="14.25" customHeight="1">
      <c r="B42" s="33" t="str">
        <f>IF('IO List'!B42="IOs",CONCATENATE('IO List'!A42),"")</f>
        <v>SOP711_B1</v>
      </c>
      <c r="C42" s="33" t="str">
        <f>IF('IO List'!B42="IOs",CONCATENATE("AT %",'IO List'!C42),"")</f>
        <v>AT %MX4.3</v>
      </c>
      <c r="D42" s="33" t="str">
        <f>IF('IO List'!B42="IOs",CONCATENATE(": ",'IO List'!D42,";"),"")</f>
        <v>: BOOL;</v>
      </c>
      <c r="E42" s="33" t="str">
        <f>IF('IO List'!B42="IOs",CONCATENATE("// ",'IO List'!F42),"")</f>
        <v>// Conveyor Sensor</v>
      </c>
      <c r="G42" s="70" t="str">
        <f t="shared" si="1"/>
        <v>Digital</v>
      </c>
      <c r="H42" s="70" t="str">
        <f>IF('IO List'!E42="Input","Write","Read")</f>
        <v>Write</v>
      </c>
    </row>
    <row r="43" ht="14.25" customHeight="1">
      <c r="B43" s="33" t="str">
        <f>IF('IO List'!B43="IOs",CONCATENATE('IO List'!A43),"")</f>
        <v>SOP712_FQ1</v>
      </c>
      <c r="C43" s="33" t="str">
        <f>IF('IO List'!B43="IOs",CONCATENATE("AT %",'IO List'!C43),"")</f>
        <v>AT %MX4.4</v>
      </c>
      <c r="D43" s="33" t="str">
        <f>IF('IO List'!B43="IOs",CONCATENATE(": ",'IO List'!D43,";"),"")</f>
        <v>: BOOL;</v>
      </c>
      <c r="E43" s="33" t="str">
        <f>IF('IO List'!B43="IOs",CONCATENATE("// ",'IO List'!F43),"")</f>
        <v>// Motor Protection Tripped (NC)</v>
      </c>
      <c r="G43" s="70" t="str">
        <f t="shared" si="1"/>
        <v>Digital</v>
      </c>
      <c r="H43" s="70" t="str">
        <f>IF('IO List'!E43="Input","Write","Read")</f>
        <v>Write</v>
      </c>
    </row>
    <row r="44" ht="14.25" customHeight="1">
      <c r="B44" s="33" t="str">
        <f>IF('IO List'!B44="IOs",CONCATENATE('IO List'!A44),"")</f>
        <v>SOP712_B1</v>
      </c>
      <c r="C44" s="33" t="str">
        <f>IF('IO List'!B44="IOs",CONCATENATE("AT %",'IO List'!C44),"")</f>
        <v>AT %MX4.5</v>
      </c>
      <c r="D44" s="33" t="str">
        <f>IF('IO List'!B44="IOs",CONCATENATE(": ",'IO List'!D44,";"),"")</f>
        <v>: BOOL;</v>
      </c>
      <c r="E44" s="33" t="str">
        <f>IF('IO List'!B44="IOs",CONCATENATE("// ",'IO List'!F44),"")</f>
        <v>// Conveyor Sensor</v>
      </c>
      <c r="G44" s="70" t="str">
        <f t="shared" si="1"/>
        <v>Digital</v>
      </c>
      <c r="H44" s="70" t="str">
        <f>IF('IO List'!E44="Input","Write","Read")</f>
        <v>Write</v>
      </c>
    </row>
    <row r="45" ht="14.25" customHeight="1">
      <c r="B45" s="33" t="str">
        <f>IF('IO List'!B45="IOs",CONCATENATE('IO List'!A45),"")</f>
        <v>SOP713_FQ1</v>
      </c>
      <c r="C45" s="33" t="str">
        <f>IF('IO List'!B45="IOs",CONCATENATE("AT %",'IO List'!C45),"")</f>
        <v>AT %MX4.6</v>
      </c>
      <c r="D45" s="33" t="str">
        <f>IF('IO List'!B45="IOs",CONCATENATE(": ",'IO List'!D45,";"),"")</f>
        <v>: BOOL;</v>
      </c>
      <c r="E45" s="33" t="str">
        <f>IF('IO List'!B45="IOs",CONCATENATE("// ",'IO List'!F45),"")</f>
        <v>// Motor Protection Tripped (NC)</v>
      </c>
      <c r="G45" s="70" t="str">
        <f t="shared" si="1"/>
        <v>Digital</v>
      </c>
      <c r="H45" s="70" t="str">
        <f>IF('IO List'!E45="Input","Write","Read")</f>
        <v>Write</v>
      </c>
    </row>
    <row r="46" ht="14.25" customHeight="1">
      <c r="B46" s="33" t="str">
        <f>IF('IO List'!B46="IOs",CONCATENATE('IO List'!A46),"")</f>
        <v>SOP713_B1</v>
      </c>
      <c r="C46" s="33" t="str">
        <f>IF('IO List'!B46="IOs",CONCATENATE("AT %",'IO List'!C46),"")</f>
        <v>AT %MX4.7</v>
      </c>
      <c r="D46" s="33" t="str">
        <f>IF('IO List'!B46="IOs",CONCATENATE(": ",'IO List'!D46,";"),"")</f>
        <v>: BOOL;</v>
      </c>
      <c r="E46" s="33" t="str">
        <f>IF('IO List'!B46="IOs",CONCATENATE("// ",'IO List'!F46),"")</f>
        <v>// Conveyor Sensor</v>
      </c>
      <c r="G46" s="70" t="str">
        <f t="shared" si="1"/>
        <v>Digital</v>
      </c>
      <c r="H46" s="70" t="str">
        <f>IF('IO List'!E46="Input","Write","Read")</f>
        <v>Write</v>
      </c>
    </row>
    <row r="47" ht="14.25" customHeight="1">
      <c r="B47" s="33" t="str">
        <f>IF('IO List'!B47="IOs",CONCATENATE('IO List'!A47),"")</f>
        <v>SOP713_B2</v>
      </c>
      <c r="C47" s="33" t="str">
        <f>IF('IO List'!B47="IOs",CONCATENATE("AT %",'IO List'!C47),"")</f>
        <v>AT %MX5.0</v>
      </c>
      <c r="D47" s="33" t="str">
        <f>IF('IO List'!B47="IOs",CONCATENATE(": ",'IO List'!D47,";"),"")</f>
        <v>: BOOL;</v>
      </c>
      <c r="E47" s="33" t="str">
        <f>IF('IO List'!B47="IOs",CONCATENATE("// ",'IO List'!F47),"")</f>
        <v>// Front Clamp down Sensor</v>
      </c>
      <c r="G47" s="70" t="str">
        <f t="shared" si="1"/>
        <v>Digital</v>
      </c>
      <c r="H47" s="70" t="str">
        <f>IF('IO List'!E47="Input","Write","Read")</f>
        <v>Write</v>
      </c>
    </row>
    <row r="48" ht="14.25" customHeight="1">
      <c r="B48" s="33" t="str">
        <f>IF('IO List'!B48="IOs",CONCATENATE('IO List'!A48),"")</f>
        <v>SOP713_B3</v>
      </c>
      <c r="C48" s="33" t="str">
        <f>IF('IO List'!B48="IOs",CONCATENATE("AT %",'IO List'!C48),"")</f>
        <v>AT %MX5.1</v>
      </c>
      <c r="D48" s="33" t="str">
        <f>IF('IO List'!B48="IOs",CONCATENATE(": ",'IO List'!D48,";"),"")</f>
        <v>: BOOL;</v>
      </c>
      <c r="E48" s="33" t="str">
        <f>IF('IO List'!B48="IOs",CONCATENATE("// ",'IO List'!F48),"")</f>
        <v>// Rear Clamp down Sensor</v>
      </c>
      <c r="G48" s="70" t="str">
        <f t="shared" si="1"/>
        <v>Digital</v>
      </c>
      <c r="H48" s="70" t="str">
        <f>IF('IO List'!E48="Input","Write","Read")</f>
        <v>Write</v>
      </c>
    </row>
    <row r="49" ht="14.25" customHeight="1">
      <c r="B49" s="33" t="str">
        <f>IF('IO List'!B49="IOs",CONCATENATE('IO List'!A49),"")</f>
        <v>SOP714_FQ1</v>
      </c>
      <c r="C49" s="33" t="str">
        <f>IF('IO List'!B49="IOs",CONCATENATE("AT %",'IO List'!C49),"")</f>
        <v>AT %MX5.2</v>
      </c>
      <c r="D49" s="33" t="str">
        <f>IF('IO List'!B49="IOs",CONCATENATE(": ",'IO List'!D49,";"),"")</f>
        <v>: BOOL;</v>
      </c>
      <c r="E49" s="33" t="str">
        <f>IF('IO List'!B49="IOs",CONCATENATE("// ",'IO List'!F49),"")</f>
        <v>// Motor Protection Tripped (NC)</v>
      </c>
      <c r="G49" s="70" t="str">
        <f t="shared" si="1"/>
        <v>Digital</v>
      </c>
      <c r="H49" s="70" t="str">
        <f>IF('IO List'!E49="Input","Write","Read")</f>
        <v>Write</v>
      </c>
    </row>
    <row r="50" ht="14.25" customHeight="1">
      <c r="B50" s="33" t="str">
        <f>IF('IO List'!B50="IOs",CONCATENATE('IO List'!A50),"")</f>
        <v>SOP714_B1</v>
      </c>
      <c r="C50" s="33" t="str">
        <f>IF('IO List'!B50="IOs",CONCATENATE("AT %",'IO List'!C50),"")</f>
        <v>AT %MX5.3</v>
      </c>
      <c r="D50" s="33" t="str">
        <f>IF('IO List'!B50="IOs",CONCATENATE(": ",'IO List'!D50,";"),"")</f>
        <v>: BOOL;</v>
      </c>
      <c r="E50" s="33" t="str">
        <f>IF('IO List'!B50="IOs",CONCATENATE("// ",'IO List'!F50),"")</f>
        <v>// Conveyor Sensor</v>
      </c>
      <c r="G50" s="70" t="str">
        <f t="shared" si="1"/>
        <v>Digital</v>
      </c>
      <c r="H50" s="70" t="str">
        <f>IF('IO List'!E50="Input","Write","Read")</f>
        <v>Write</v>
      </c>
    </row>
    <row r="51" ht="14.25" customHeight="1">
      <c r="B51" s="33" t="str">
        <f>IF('IO List'!B51="IOs",CONCATENATE('IO List'!A51),"")</f>
        <v>SOP715_FQ1</v>
      </c>
      <c r="C51" s="33" t="str">
        <f>IF('IO List'!B51="IOs",CONCATENATE("AT %",'IO List'!C51),"")</f>
        <v>AT %MX5.4</v>
      </c>
      <c r="D51" s="33" t="str">
        <f>IF('IO List'!B51="IOs",CONCATENATE(": ",'IO List'!D51,";"),"")</f>
        <v>: BOOL;</v>
      </c>
      <c r="E51" s="33" t="str">
        <f>IF('IO List'!B51="IOs",CONCATENATE("// ",'IO List'!F51),"")</f>
        <v>// Motor Protection Tripped (NC)</v>
      </c>
      <c r="G51" s="70" t="str">
        <f t="shared" si="1"/>
        <v>Digital</v>
      </c>
      <c r="H51" s="70" t="str">
        <f>IF('IO List'!E51="Input","Write","Read")</f>
        <v>Write</v>
      </c>
    </row>
    <row r="52" ht="14.25" customHeight="1">
      <c r="B52" s="33" t="str">
        <f>IF('IO List'!B52="IOs",CONCATENATE('IO List'!A52),"")</f>
        <v>SOP715_B1</v>
      </c>
      <c r="C52" s="33" t="str">
        <f>IF('IO List'!B52="IOs",CONCATENATE("AT %",'IO List'!C52),"")</f>
        <v>AT %MX5.5</v>
      </c>
      <c r="D52" s="33" t="str">
        <f>IF('IO List'!B52="IOs",CONCATENATE(": ",'IO List'!D52,";"),"")</f>
        <v>: BOOL;</v>
      </c>
      <c r="E52" s="33" t="str">
        <f>IF('IO List'!B52="IOs",CONCATENATE("// ",'IO List'!F52),"")</f>
        <v>// Conveyor Sensor</v>
      </c>
      <c r="G52" s="70" t="str">
        <f t="shared" si="1"/>
        <v>Digital</v>
      </c>
      <c r="H52" s="70" t="str">
        <f>IF('IO List'!E52="Input","Write","Read")</f>
        <v>Write</v>
      </c>
    </row>
    <row r="53" ht="14.25" customHeight="1">
      <c r="B53" s="33" t="str">
        <f>IF('IO List'!B53="IOs",CONCATENATE('IO List'!A53),"")</f>
        <v>SOP716_FQ1</v>
      </c>
      <c r="C53" s="33" t="str">
        <f>IF('IO List'!B53="IOs",CONCATENATE("AT %",'IO List'!C53),"")</f>
        <v>AT %MX5.6</v>
      </c>
      <c r="D53" s="33" t="str">
        <f>IF('IO List'!B53="IOs",CONCATENATE(": ",'IO List'!D53,";"),"")</f>
        <v>: BOOL;</v>
      </c>
      <c r="E53" s="33" t="str">
        <f>IF('IO List'!B53="IOs",CONCATENATE("// ",'IO List'!F53),"")</f>
        <v>// Motor Protection Tripped (NC)</v>
      </c>
      <c r="G53" s="70" t="str">
        <f t="shared" si="1"/>
        <v>Digital</v>
      </c>
      <c r="H53" s="70" t="str">
        <f>IF('IO List'!E53="Input","Write","Read")</f>
        <v>Write</v>
      </c>
    </row>
    <row r="54" ht="14.25" customHeight="1">
      <c r="B54" s="33" t="str">
        <f>IF('IO List'!B54="IOs",CONCATENATE('IO List'!A54),"")</f>
        <v>SOP716_B1</v>
      </c>
      <c r="C54" s="33" t="str">
        <f>IF('IO List'!B54="IOs",CONCATENATE("AT %",'IO List'!C54),"")</f>
        <v>AT %MX5.7</v>
      </c>
      <c r="D54" s="33" t="str">
        <f>IF('IO List'!B54="IOs",CONCATENATE(": ",'IO List'!D54,";"),"")</f>
        <v>: BOOL;</v>
      </c>
      <c r="E54" s="33" t="str">
        <f>IF('IO List'!B54="IOs",CONCATENATE("// ",'IO List'!F54),"")</f>
        <v>// Conveyor Sensor</v>
      </c>
      <c r="G54" s="70" t="str">
        <f t="shared" si="1"/>
        <v>Digital</v>
      </c>
      <c r="H54" s="70" t="str">
        <f>IF('IO List'!E54="Input","Write","Read")</f>
        <v>Write</v>
      </c>
    </row>
    <row r="55" ht="14.25" customHeight="1">
      <c r="B55" s="33" t="str">
        <f>IF('IO List'!B55="IOs",CONCATENATE('IO List'!A55),"")</f>
        <v/>
      </c>
      <c r="C55" s="33" t="str">
        <f>IF('IO List'!B55="IOs",CONCATENATE("AT %",'IO List'!C55),"")</f>
        <v/>
      </c>
      <c r="D55" s="33" t="str">
        <f>IF('IO List'!B55="IOs",CONCATENATE(": ",'IO List'!D55,";"),"")</f>
        <v/>
      </c>
      <c r="E55" s="33" t="str">
        <f>IF('IO List'!B55="IOs",CONCATENATE("// ",'IO List'!F55),"")</f>
        <v/>
      </c>
      <c r="G55" s="70" t="str">
        <f t="shared" si="1"/>
        <v>Group</v>
      </c>
      <c r="H55" s="70" t="str">
        <f>IF('IO List'!E55="Input","Write","Read")</f>
        <v>Read</v>
      </c>
    </row>
    <row r="56" ht="14.25" customHeight="1">
      <c r="B56" s="33" t="str">
        <f>IF('IO List'!B56="IOs",CONCATENATE('IO List'!A56),"")</f>
        <v>SOP717_FQ1</v>
      </c>
      <c r="C56" s="33" t="str">
        <f>IF('IO List'!B56="IOs",CONCATENATE("AT %",'IO List'!C56),"")</f>
        <v>AT %MX6.0</v>
      </c>
      <c r="D56" s="33" t="str">
        <f>IF('IO List'!B56="IOs",CONCATENATE(": ",'IO List'!D56,";"),"")</f>
        <v>: BOOL;</v>
      </c>
      <c r="E56" s="33" t="str">
        <f>IF('IO List'!B56="IOs",CONCATENATE("// ",'IO List'!F56),"")</f>
        <v>// Motor Protection Tripped (NC)</v>
      </c>
      <c r="G56" s="70" t="str">
        <f t="shared" si="1"/>
        <v>Digital</v>
      </c>
      <c r="H56" s="70" t="str">
        <f>IF('IO List'!E56="Input","Write","Read")</f>
        <v>Write</v>
      </c>
    </row>
    <row r="57" ht="14.25" customHeight="1">
      <c r="B57" s="33" t="str">
        <f>IF('IO List'!B57="IOs",CONCATENATE('IO List'!A57),"")</f>
        <v>SOP717_B1</v>
      </c>
      <c r="C57" s="33" t="str">
        <f>IF('IO List'!B57="IOs",CONCATENATE("AT %",'IO List'!C57),"")</f>
        <v>AT %MX6.1</v>
      </c>
      <c r="D57" s="33" t="str">
        <f>IF('IO List'!B57="IOs",CONCATENATE(": ",'IO List'!D57,";"),"")</f>
        <v>: BOOL;</v>
      </c>
      <c r="E57" s="33" t="str">
        <f>IF('IO List'!B57="IOs",CONCATENATE("// ",'IO List'!F57),"")</f>
        <v>// Conveyor Sensor</v>
      </c>
      <c r="G57" s="70" t="str">
        <f t="shared" si="1"/>
        <v>Digital</v>
      </c>
      <c r="H57" s="70" t="str">
        <f>IF('IO List'!E57="Input","Write","Read")</f>
        <v>Write</v>
      </c>
    </row>
    <row r="58" ht="14.25" customHeight="1">
      <c r="B58" s="33" t="str">
        <f>IF('IO List'!B58="IOs",CONCATENATE('IO List'!A58),"")</f>
        <v>SOP720_FQ1</v>
      </c>
      <c r="C58" s="33" t="str">
        <f>IF('IO List'!B58="IOs",CONCATENATE("AT %",'IO List'!C58),"")</f>
        <v>AT %MX6.2</v>
      </c>
      <c r="D58" s="33" t="str">
        <f>IF('IO List'!B58="IOs",CONCATENATE(": ",'IO List'!D58,";"),"")</f>
        <v>: BOOL;</v>
      </c>
      <c r="E58" s="33" t="str">
        <f>IF('IO List'!B58="IOs",CONCATENATE("// ",'IO List'!F58),"")</f>
        <v>// Motor Protection Tripped (NC)</v>
      </c>
      <c r="G58" s="70" t="str">
        <f t="shared" si="1"/>
        <v>Digital</v>
      </c>
      <c r="H58" s="70" t="str">
        <f>IF('IO List'!E58="Input","Write","Read")</f>
        <v>Write</v>
      </c>
    </row>
    <row r="59" ht="14.25" customHeight="1">
      <c r="B59" s="33" t="str">
        <f>IF('IO List'!B59="IOs",CONCATENATE('IO List'!A59),"")</f>
        <v>SOP720_B1</v>
      </c>
      <c r="C59" s="33" t="str">
        <f>IF('IO List'!B59="IOs",CONCATENATE("AT %",'IO List'!C59),"")</f>
        <v>AT %MX6.3</v>
      </c>
      <c r="D59" s="33" t="str">
        <f>IF('IO List'!B59="IOs",CONCATENATE(": ",'IO List'!D59,";"),"")</f>
        <v>: BOOL;</v>
      </c>
      <c r="E59" s="33" t="str">
        <f>IF('IO List'!B59="IOs",CONCATENATE("// ",'IO List'!F59),"")</f>
        <v>// Conveyor Sensor</v>
      </c>
      <c r="G59" s="70" t="str">
        <f t="shared" si="1"/>
        <v>Digital</v>
      </c>
      <c r="H59" s="70" t="str">
        <f>IF('IO List'!E59="Input","Write","Read")</f>
        <v>Write</v>
      </c>
    </row>
    <row r="60" ht="14.25" customHeight="1">
      <c r="B60" s="33" t="str">
        <f>IF('IO List'!B60="IOs",CONCATENATE('IO List'!A60),"")</f>
        <v>SOP720_FQ2</v>
      </c>
      <c r="C60" s="33" t="str">
        <f>IF('IO List'!B60="IOs",CONCATENATE("AT %",'IO List'!C60),"")</f>
        <v>AT %MX6.4</v>
      </c>
      <c r="D60" s="33" t="str">
        <f>IF('IO List'!B60="IOs",CONCATENATE(": ",'IO List'!D60,";"),"")</f>
        <v>: BOOL;</v>
      </c>
      <c r="E60" s="33" t="str">
        <f>IF('IO List'!B60="IOs",CONCATENATE("// ",'IO List'!F60),"")</f>
        <v>// Motor Protection Tripped (NC)</v>
      </c>
      <c r="G60" s="70" t="str">
        <f t="shared" si="1"/>
        <v>Digital</v>
      </c>
      <c r="H60" s="70" t="str">
        <f>IF('IO List'!E60="Input","Write","Read")</f>
        <v>Write</v>
      </c>
    </row>
    <row r="61" ht="14.25" customHeight="1">
      <c r="B61" s="33" t="str">
        <f>IF('IO List'!B61="IOs",CONCATENATE('IO List'!A61),"")</f>
        <v>SOP720_B2</v>
      </c>
      <c r="C61" s="33" t="str">
        <f>IF('IO List'!B61="IOs",CONCATENATE("AT %",'IO List'!C61),"")</f>
        <v>AT %MX6.5</v>
      </c>
      <c r="D61" s="33" t="str">
        <f>IF('IO List'!B61="IOs",CONCATENATE(": ",'IO List'!D61,";"),"")</f>
        <v>: BOOL;</v>
      </c>
      <c r="E61" s="33" t="str">
        <f>IF('IO List'!B61="IOs",CONCATENATE("// ",'IO List'!F61),"")</f>
        <v>// Conveyor Position Sensor. Rot. Production</v>
      </c>
      <c r="G61" s="70" t="str">
        <f t="shared" si="1"/>
        <v>Digital</v>
      </c>
      <c r="H61" s="70" t="str">
        <f>IF('IO List'!E61="Input","Write","Read")</f>
        <v>Write</v>
      </c>
    </row>
    <row r="62" ht="14.25" customHeight="1">
      <c r="B62" s="33" t="str">
        <f>IF('IO List'!B62="IOs",CONCATENATE('IO List'!A62),"")</f>
        <v>SOP720_B3</v>
      </c>
      <c r="C62" s="33" t="str">
        <f>IF('IO List'!B62="IOs",CONCATENATE("AT %",'IO List'!C62),"")</f>
        <v>AT %MX6.6</v>
      </c>
      <c r="D62" s="33" t="str">
        <f>IF('IO List'!B62="IOs",CONCATENATE(": ",'IO List'!D62,";"),"")</f>
        <v>: BOOL;</v>
      </c>
      <c r="E62" s="33" t="str">
        <f>IF('IO List'!B62="IOs",CONCATENATE("// ",'IO List'!F62),"")</f>
        <v>// Conveyor Position Sensor. Rot. Forklift</v>
      </c>
      <c r="G62" s="70" t="str">
        <f t="shared" si="1"/>
        <v>Digital</v>
      </c>
      <c r="H62" s="70" t="str">
        <f>IF('IO List'!E62="Input","Write","Read")</f>
        <v>Write</v>
      </c>
    </row>
    <row r="63" ht="14.25" customHeight="1">
      <c r="B63" s="33" t="str">
        <f>IF('IO List'!B63="IOs",CONCATENATE('IO List'!A63),"")</f>
        <v/>
      </c>
      <c r="C63" s="33" t="str">
        <f>IF('IO List'!B63="IOs",CONCATENATE("AT %",'IO List'!C63),"")</f>
        <v/>
      </c>
      <c r="D63" s="33" t="str">
        <f>IF('IO List'!B63="IOs",CONCATENATE(": ",'IO List'!D63,";"),"")</f>
        <v/>
      </c>
      <c r="E63" s="33" t="str">
        <f>IF('IO List'!B63="IOs",CONCATENATE("// ",'IO List'!F63),"")</f>
        <v/>
      </c>
      <c r="G63" s="70" t="str">
        <f t="shared" si="1"/>
        <v>Group</v>
      </c>
      <c r="H63" s="70" t="str">
        <f>IF('IO List'!E63="Input","Write","Read")</f>
        <v>Read</v>
      </c>
    </row>
    <row r="64" ht="14.25" customHeight="1">
      <c r="B64" s="33" t="str">
        <f>IF('IO List'!B64="IOs",CONCATENATE('IO List'!A64),"")</f>
        <v/>
      </c>
      <c r="C64" s="33" t="str">
        <f>IF('IO List'!B64="IOs",CONCATENATE("AT %",'IO List'!C64),"")</f>
        <v/>
      </c>
      <c r="D64" s="33" t="str">
        <f>IF('IO List'!B64="IOs",CONCATENATE(": ",'IO List'!D64,";"),"")</f>
        <v/>
      </c>
      <c r="E64" s="33" t="str">
        <f>IF('IO List'!B64="IOs",CONCATENATE("// ",'IO List'!F64),"")</f>
        <v/>
      </c>
      <c r="G64" s="70" t="str">
        <f t="shared" si="1"/>
        <v>Group</v>
      </c>
      <c r="H64" s="70" t="str">
        <f>IF('IO List'!E64="Input","Write","Read")</f>
        <v>Read</v>
      </c>
    </row>
    <row r="65" ht="14.25" customHeight="1">
      <c r="B65" s="33" t="str">
        <f>IF('IO List'!B65="IOs",CONCATENATE('IO List'!A65),"")</f>
        <v/>
      </c>
      <c r="C65" s="33" t="str">
        <f>IF('IO List'!B65="IOs",CONCATENATE("AT %",'IO List'!C65),"")</f>
        <v/>
      </c>
      <c r="D65" s="33" t="str">
        <f>IF('IO List'!B65="IOs",CONCATENATE(": ",'IO List'!D65,";"),"")</f>
        <v/>
      </c>
      <c r="E65" s="33" t="str">
        <f>IF('IO List'!B65="IOs",CONCATENATE("// ",'IO List'!F65),"")</f>
        <v/>
      </c>
      <c r="G65" s="70" t="str">
        <f t="shared" si="1"/>
        <v>Group</v>
      </c>
      <c r="H65" s="70" t="str">
        <f>IF('IO List'!E65="Input","Write","Read")</f>
        <v>Read</v>
      </c>
    </row>
    <row r="66" ht="14.25" customHeight="1">
      <c r="B66" s="33" t="str">
        <f>IF('IO List'!B66="IOs",CONCATENATE('IO List'!A66),"")</f>
        <v/>
      </c>
      <c r="C66" s="33" t="str">
        <f>IF('IO List'!B66="IOs",CONCATENATE("AT %",'IO List'!C66),"")</f>
        <v/>
      </c>
      <c r="D66" s="33" t="str">
        <f>IF('IO List'!B66="IOs",CONCATENATE(": ",'IO List'!D66,";"),"")</f>
        <v/>
      </c>
      <c r="E66" s="33" t="str">
        <f>IF('IO List'!B66="IOs",CONCATENATE("// ",'IO List'!F66),"")</f>
        <v/>
      </c>
      <c r="G66" s="70" t="str">
        <f t="shared" si="1"/>
        <v>Group</v>
      </c>
      <c r="H66" s="70" t="str">
        <f>IF('IO List'!E66="Input","Write","Read")</f>
        <v>Read</v>
      </c>
    </row>
    <row r="67" ht="14.25" customHeight="1">
      <c r="B67" s="33" t="str">
        <f>IF('IO List'!B67="IOs",CONCATENATE('IO List'!A67),"")</f>
        <v/>
      </c>
      <c r="C67" s="33" t="str">
        <f>IF('IO List'!B67="IOs",CONCATENATE("AT %",'IO List'!C67),"")</f>
        <v/>
      </c>
      <c r="D67" s="33" t="str">
        <f>IF('IO List'!B67="IOs",CONCATENATE(": ",'IO List'!D67,";"),"")</f>
        <v/>
      </c>
      <c r="E67" s="33" t="str">
        <f>IF('IO List'!B67="IOs",CONCATENATE("// ",'IO List'!F67),"")</f>
        <v/>
      </c>
      <c r="G67" s="70" t="str">
        <f t="shared" si="1"/>
        <v>Group</v>
      </c>
      <c r="H67" s="70" t="str">
        <f>IF('IO List'!E67="Input","Write","Read")</f>
        <v>Read</v>
      </c>
    </row>
    <row r="68" ht="14.25" customHeight="1">
      <c r="B68" s="33" t="str">
        <f>IF('IO List'!B68="IOs",CONCATENATE('IO List'!A68),"")</f>
        <v>SOP720_LC1_ON</v>
      </c>
      <c r="C68" s="33" t="str">
        <f>IF('IO List'!B68="IOs",CONCATENATE("AT %",'IO List'!C68),"")</f>
        <v>AT %MX7.4</v>
      </c>
      <c r="D68" s="33" t="str">
        <f>IF('IO List'!B68="IOs",CONCATENATE(": ",'IO List'!D68,";"),"")</f>
        <v>: BOOL;</v>
      </c>
      <c r="E68" s="33" t="str">
        <f>IF('IO List'!B68="IOs",CONCATENATE("// ",'IO List'!F68),"")</f>
        <v>// Light Curtain Tripped OUT</v>
      </c>
      <c r="G68" s="70" t="str">
        <f t="shared" si="1"/>
        <v>Digital</v>
      </c>
      <c r="H68" s="70" t="str">
        <f>IF('IO List'!E68="Input","Write","Read")</f>
        <v>Write</v>
      </c>
    </row>
    <row r="69" ht="14.25" customHeight="1">
      <c r="B69" s="33" t="str">
        <f>IF('IO List'!B69="IOs",CONCATENATE('IO List'!A69),"")</f>
        <v>SOP720_LC2_ON</v>
      </c>
      <c r="C69" s="33" t="str">
        <f>IF('IO List'!B69="IOs",CONCATENATE("AT %",'IO List'!C69),"")</f>
        <v>AT %MX7.5</v>
      </c>
      <c r="D69" s="33" t="str">
        <f>IF('IO List'!B69="IOs",CONCATENATE(": ",'IO List'!D69,";"),"")</f>
        <v>: BOOL;</v>
      </c>
      <c r="E69" s="33" t="str">
        <f>IF('IO List'!B69="IOs",CONCATENATE("// ",'IO List'!F69),"")</f>
        <v>// Light Curtain Tripped IN</v>
      </c>
      <c r="G69" s="70" t="str">
        <f t="shared" si="1"/>
        <v>Digital</v>
      </c>
      <c r="H69" s="70" t="str">
        <f>IF('IO List'!E69="Input","Write","Read")</f>
        <v>Write</v>
      </c>
    </row>
    <row r="70" ht="14.25" customHeight="1">
      <c r="B70" s="33" t="str">
        <f>IF('IO List'!B70="IOs",CONCATENATE('IO List'!A70),"")</f>
        <v>SOP720_B8</v>
      </c>
      <c r="C70" s="33" t="str">
        <f>IF('IO List'!B70="IOs",CONCATENATE("AT %",'IO List'!C70),"")</f>
        <v>AT %MX7.6</v>
      </c>
      <c r="D70" s="33" t="str">
        <f>IF('IO List'!B70="IOs",CONCATENATE(": ",'IO List'!D70,";"),"")</f>
        <v>: BOOL;</v>
      </c>
      <c r="E70" s="33" t="str">
        <f>IF('IO List'!B70="IOs",CONCATENATE("// ",'IO List'!F70),"")</f>
        <v>// Button. Dispensor Refilled, Rotate counter-clockwise</v>
      </c>
      <c r="G70" s="70" t="str">
        <f t="shared" si="1"/>
        <v>Digital</v>
      </c>
      <c r="H70" s="70" t="str">
        <f>IF('IO List'!E70="Input","Write","Read")</f>
        <v>Write</v>
      </c>
    </row>
    <row r="71" ht="14.25" customHeight="1">
      <c r="B71" s="33" t="str">
        <f>IF('IO List'!B71="IOs",CONCATENATE('IO List'!A71),"")</f>
        <v>SOP720_HMI_B1</v>
      </c>
      <c r="C71" s="33" t="str">
        <f>IF('IO List'!B71="IOs",CONCATENATE("AT %",'IO List'!C71),"")</f>
        <v>AT %MX7.7</v>
      </c>
      <c r="D71" s="33" t="str">
        <f>IF('IO List'!B71="IOs",CONCATENATE(": ",'IO List'!D71,";"),"")</f>
        <v>: BOOL;</v>
      </c>
      <c r="E71" s="33" t="str">
        <f>IF('IO List'!B71="IOs",CONCATENATE("// ",'IO List'!F71),"")</f>
        <v>// Mute Light Curtain. Rope Out</v>
      </c>
      <c r="G71" s="70" t="str">
        <f t="shared" si="1"/>
        <v>Digital</v>
      </c>
      <c r="H71" s="70" t="str">
        <f>IF('IO List'!E71="Input","Write","Read")</f>
        <v>Write</v>
      </c>
    </row>
    <row r="72" ht="14.25" customHeight="1">
      <c r="B72" s="33" t="str">
        <f>IF('IO List'!B72="IOs",CONCATENATE('IO List'!A72),"")</f>
        <v/>
      </c>
      <c r="C72" s="33" t="str">
        <f>IF('IO List'!B72="IOs",CONCATENATE("AT %",'IO List'!C72),"")</f>
        <v/>
      </c>
      <c r="D72" s="33" t="str">
        <f>IF('IO List'!B72="IOs",CONCATENATE(": ",'IO List'!D72,";"),"")</f>
        <v/>
      </c>
      <c r="E72" s="33" t="str">
        <f>IF('IO List'!B72="IOs",CONCATENATE("// ",'IO List'!F72),"")</f>
        <v/>
      </c>
      <c r="G72" s="70" t="str">
        <f t="shared" si="1"/>
        <v>Group</v>
      </c>
      <c r="H72" s="70" t="str">
        <f>IF('IO List'!E72="Input","Write","Read")</f>
        <v>Read</v>
      </c>
    </row>
    <row r="73" ht="14.25" customHeight="1">
      <c r="B73" s="33" t="str">
        <f>IF('IO List'!B73="IOs",CONCATENATE('IO List'!A73),"")</f>
        <v>SOP721_FQ1</v>
      </c>
      <c r="C73" s="33" t="str">
        <f>IF('IO List'!B73="IOs",CONCATENATE("AT %",'IO List'!C73),"")</f>
        <v>AT %MX8.0</v>
      </c>
      <c r="D73" s="33" t="str">
        <f>IF('IO List'!B73="IOs",CONCATENATE(": ",'IO List'!D73,";"),"")</f>
        <v>: BOOL;</v>
      </c>
      <c r="E73" s="33" t="str">
        <f>IF('IO List'!B73="IOs",CONCATENATE("// ",'IO List'!F73),"")</f>
        <v>// Motor Protection Tripped (NC)</v>
      </c>
      <c r="G73" s="70" t="str">
        <f t="shared" si="1"/>
        <v>Digital</v>
      </c>
      <c r="H73" s="70" t="str">
        <f>IF('IO List'!E73="Input","Write","Read")</f>
        <v>Write</v>
      </c>
    </row>
    <row r="74" ht="14.25" customHeight="1">
      <c r="B74" s="33" t="str">
        <f>IF('IO List'!B74="IOs",CONCATENATE('IO List'!A74),"")</f>
        <v>SOP721_B1</v>
      </c>
      <c r="C74" s="33" t="str">
        <f>IF('IO List'!B74="IOs",CONCATENATE("AT %",'IO List'!C74),"")</f>
        <v>AT %MX8.1</v>
      </c>
      <c r="D74" s="33" t="str">
        <f>IF('IO List'!B74="IOs",CONCATENATE(": ",'IO List'!D74,";"),"")</f>
        <v>: BOOL;</v>
      </c>
      <c r="E74" s="33" t="str">
        <f>IF('IO List'!B74="IOs",CONCATENATE("// ",'IO List'!F74),"")</f>
        <v>// Conveyor Sensor</v>
      </c>
      <c r="G74" s="70" t="str">
        <f t="shared" si="1"/>
        <v>Digital</v>
      </c>
      <c r="H74" s="70" t="str">
        <f>IF('IO List'!E74="Input","Write","Read")</f>
        <v>Write</v>
      </c>
    </row>
    <row r="75" ht="14.25" customHeight="1">
      <c r="B75" s="33" t="str">
        <f>IF('IO List'!B75="IOs",CONCATENATE('IO List'!A75),"")</f>
        <v>SOP730_FQ1</v>
      </c>
      <c r="C75" s="33" t="str">
        <f>IF('IO List'!B75="IOs",CONCATENATE("AT %",'IO List'!C75),"")</f>
        <v>AT %MX8.2</v>
      </c>
      <c r="D75" s="33" t="str">
        <f>IF('IO List'!B75="IOs",CONCATENATE(": ",'IO List'!D75,";"),"")</f>
        <v>: BOOL;</v>
      </c>
      <c r="E75" s="33" t="str">
        <f>IF('IO List'!B75="IOs",CONCATENATE("// ",'IO List'!F75),"")</f>
        <v>// Motor Protection Tripped (NC)</v>
      </c>
      <c r="G75" s="70" t="str">
        <f t="shared" si="1"/>
        <v>Digital</v>
      </c>
      <c r="H75" s="70" t="str">
        <f>IF('IO List'!E75="Input","Write","Read")</f>
        <v>Write</v>
      </c>
    </row>
    <row r="76" ht="14.25" customHeight="1">
      <c r="B76" s="33" t="str">
        <f>IF('IO List'!B76="IOs",CONCATENATE('IO List'!A76),"")</f>
        <v>SOP730_B1</v>
      </c>
      <c r="C76" s="33" t="str">
        <f>IF('IO List'!B76="IOs",CONCATENATE("AT %",'IO List'!C76),"")</f>
        <v>AT %MX8.3</v>
      </c>
      <c r="D76" s="33" t="str">
        <f>IF('IO List'!B76="IOs",CONCATENATE(": ",'IO List'!D76,";"),"")</f>
        <v>: BOOL;</v>
      </c>
      <c r="E76" s="33" t="str">
        <f>IF('IO List'!B76="IOs",CONCATENATE("// ",'IO List'!F76),"")</f>
        <v>// Conveyor Sensor</v>
      </c>
      <c r="G76" s="70" t="str">
        <f t="shared" si="1"/>
        <v>Digital</v>
      </c>
      <c r="H76" s="70" t="str">
        <f>IF('IO List'!E76="Input","Write","Read")</f>
        <v>Write</v>
      </c>
    </row>
    <row r="77" ht="14.25" customHeight="1">
      <c r="B77" s="33" t="str">
        <f>IF('IO List'!B77="IOs",CONCATENATE('IO List'!A77),"")</f>
        <v>SOP730_B2</v>
      </c>
      <c r="C77" s="33" t="str">
        <f>IF('IO List'!B77="IOs",CONCATENATE("AT %",'IO List'!C77),"")</f>
        <v>AT %MX8.4</v>
      </c>
      <c r="D77" s="33" t="str">
        <f>IF('IO List'!B77="IOs",CONCATENATE(": ",'IO List'!D77,";"),"")</f>
        <v>: BOOL;</v>
      </c>
      <c r="E77" s="33" t="str">
        <f>IF('IO List'!B77="IOs",CONCATENATE("// ",'IO List'!F77),"")</f>
        <v>// Front Clamp down Sensor</v>
      </c>
      <c r="G77" s="70" t="str">
        <f t="shared" si="1"/>
        <v>Digital</v>
      </c>
      <c r="H77" s="70" t="str">
        <f>IF('IO List'!E77="Input","Write","Read")</f>
        <v>Write</v>
      </c>
    </row>
    <row r="78" ht="14.25" customHeight="1">
      <c r="B78" s="33" t="str">
        <f>IF('IO List'!B78="IOs",CONCATENATE('IO List'!A78),"")</f>
        <v>SOP730_B3</v>
      </c>
      <c r="C78" s="33" t="str">
        <f>IF('IO List'!B78="IOs",CONCATENATE("AT %",'IO List'!C78),"")</f>
        <v>AT %MX8.5</v>
      </c>
      <c r="D78" s="33" t="str">
        <f>IF('IO List'!B78="IOs",CONCATENATE(": ",'IO List'!D78,";"),"")</f>
        <v>: BOOL;</v>
      </c>
      <c r="E78" s="33" t="str">
        <f>IF('IO List'!B78="IOs",CONCATENATE("// ",'IO List'!F78),"")</f>
        <v>// Rear Clamp down Sensor</v>
      </c>
      <c r="G78" s="70" t="str">
        <f t="shared" si="1"/>
        <v>Digital</v>
      </c>
      <c r="H78" s="70" t="str">
        <f>IF('IO List'!E78="Input","Write","Read")</f>
        <v>Write</v>
      </c>
    </row>
    <row r="79" ht="14.25" customHeight="1">
      <c r="B79" s="33" t="str">
        <f>IF('IO List'!B79="IOs",CONCATENATE('IO List'!A79),"")</f>
        <v>SOP722_FQ1</v>
      </c>
      <c r="C79" s="33" t="str">
        <f>IF('IO List'!B79="IOs",CONCATENATE("AT %",'IO List'!C79),"")</f>
        <v>AT %MX8.6</v>
      </c>
      <c r="D79" s="33" t="str">
        <f>IF('IO List'!B79="IOs",CONCATENATE(": ",'IO List'!D79,";"),"")</f>
        <v>: BOOL;</v>
      </c>
      <c r="E79" s="33" t="str">
        <f>IF('IO List'!B79="IOs",CONCATENATE("// ",'IO List'!F79),"")</f>
        <v>// Motor Protection Tripped (NC)</v>
      </c>
      <c r="G79" s="70" t="str">
        <f t="shared" si="1"/>
        <v>Digital</v>
      </c>
      <c r="H79" s="70" t="str">
        <f>IF('IO List'!E79="Input","Write","Read")</f>
        <v>Write</v>
      </c>
    </row>
    <row r="80" ht="14.25" customHeight="1">
      <c r="B80" s="33" t="str">
        <f>IF('IO List'!B80="IOs",CONCATENATE('IO List'!A80),"")</f>
        <v>SOP722_B1</v>
      </c>
      <c r="C80" s="33" t="str">
        <f>IF('IO List'!B80="IOs",CONCATENATE("AT %",'IO List'!C80),"")</f>
        <v>AT %MX8.7</v>
      </c>
      <c r="D80" s="33" t="str">
        <f>IF('IO List'!B80="IOs",CONCATENATE(": ",'IO List'!D80,";"),"")</f>
        <v>: BOOL;</v>
      </c>
      <c r="E80" s="33" t="str">
        <f>IF('IO List'!B80="IOs",CONCATENATE("// ",'IO List'!F80),"")</f>
        <v>// Conveyor Sensor</v>
      </c>
      <c r="G80" s="70" t="str">
        <f t="shared" si="1"/>
        <v>Digital</v>
      </c>
      <c r="H80" s="70" t="str">
        <f>IF('IO List'!E80="Input","Write","Read")</f>
        <v>Write</v>
      </c>
    </row>
    <row r="81" ht="14.25" customHeight="1">
      <c r="B81" s="33" t="str">
        <f>IF('IO List'!B81="IOs",CONCATENATE('IO List'!A81),"")</f>
        <v>SOP723_FQ1</v>
      </c>
      <c r="C81" s="33" t="str">
        <f>IF('IO List'!B81="IOs",CONCATENATE("AT %",'IO List'!C81),"")</f>
        <v>AT %MX9.0</v>
      </c>
      <c r="D81" s="33" t="str">
        <f>IF('IO List'!B81="IOs",CONCATENATE(": ",'IO List'!D81,";"),"")</f>
        <v>: BOOL;</v>
      </c>
      <c r="E81" s="33" t="str">
        <f>IF('IO List'!B81="IOs",CONCATENATE("// ",'IO List'!F81),"")</f>
        <v>// Motor Protection Tripped (NC)</v>
      </c>
      <c r="G81" s="70" t="str">
        <f t="shared" si="1"/>
        <v>Digital</v>
      </c>
      <c r="H81" s="70" t="str">
        <f>IF('IO List'!E81="Input","Write","Read")</f>
        <v>Write</v>
      </c>
    </row>
    <row r="82" ht="14.25" customHeight="1">
      <c r="B82" s="33" t="str">
        <f>IF('IO List'!B82="IOs",CONCATENATE('IO List'!A82),"")</f>
        <v>SOP723_B1</v>
      </c>
      <c r="C82" s="33" t="str">
        <f>IF('IO List'!B82="IOs",CONCATENATE("AT %",'IO List'!C82),"")</f>
        <v>AT %MX9.1</v>
      </c>
      <c r="D82" s="33" t="str">
        <f>IF('IO List'!B82="IOs",CONCATENATE(": ",'IO List'!D82,";"),"")</f>
        <v>: BOOL;</v>
      </c>
      <c r="E82" s="33" t="str">
        <f>IF('IO List'!B82="IOs",CONCATENATE("// ",'IO List'!F82),"")</f>
        <v>// Conveyor Sensor</v>
      </c>
      <c r="G82" s="70" t="str">
        <f t="shared" si="1"/>
        <v>Digital</v>
      </c>
      <c r="H82" s="70" t="str">
        <f>IF('IO List'!E82="Input","Write","Read")</f>
        <v>Write</v>
      </c>
    </row>
    <row r="83" ht="14.25" customHeight="1">
      <c r="B83" s="33" t="str">
        <f>IF('IO List'!B83="IOs",CONCATENATE('IO List'!A83),"")</f>
        <v>SOP723_LC1_ON</v>
      </c>
      <c r="C83" s="33" t="str">
        <f>IF('IO List'!B83="IOs",CONCATENATE("AT %",'IO List'!C83),"")</f>
        <v>AT %MX9.2</v>
      </c>
      <c r="D83" s="33" t="str">
        <f>IF('IO List'!B83="IOs",CONCATENATE(": ",'IO List'!D83,";"),"")</f>
        <v>: BOOL;</v>
      </c>
      <c r="E83" s="33" t="str">
        <f>IF('IO List'!B83="IOs",CONCATENATE("// ",'IO List'!F83),"")</f>
        <v>// Light Curtain Tripped OUT</v>
      </c>
      <c r="G83" s="70" t="str">
        <f t="shared" si="1"/>
        <v>Digital</v>
      </c>
      <c r="H83" s="70" t="str">
        <f>IF('IO List'!E83="Input","Write","Read")</f>
        <v>Write</v>
      </c>
    </row>
    <row r="84" ht="14.25" customHeight="1">
      <c r="B84" s="33" t="str">
        <f>IF('IO List'!B84="IOs",CONCATENATE('IO List'!A84),"")</f>
        <v>SOP723_LC2_ON</v>
      </c>
      <c r="C84" s="33" t="str">
        <f>IF('IO List'!B84="IOs",CONCATENATE("AT %",'IO List'!C84),"")</f>
        <v>AT %MX9.3</v>
      </c>
      <c r="D84" s="33" t="str">
        <f>IF('IO List'!B84="IOs",CONCATENATE(": ",'IO List'!D84,";"),"")</f>
        <v>: BOOL;</v>
      </c>
      <c r="E84" s="33" t="str">
        <f>IF('IO List'!B84="IOs",CONCATENATE("// ",'IO List'!F84),"")</f>
        <v>// Light Curtain Tripped IN</v>
      </c>
      <c r="G84" s="70" t="str">
        <f t="shared" si="1"/>
        <v>Digital</v>
      </c>
      <c r="H84" s="70" t="str">
        <f>IF('IO List'!E84="Input","Write","Read")</f>
        <v>Write</v>
      </c>
    </row>
    <row r="85" ht="14.25" customHeight="1">
      <c r="B85" s="33" t="str">
        <f>IF('IO List'!B85="IOs",CONCATENATE('IO List'!A85),"")</f>
        <v/>
      </c>
      <c r="C85" s="33" t="str">
        <f>IF('IO List'!B85="IOs",CONCATENATE("AT %",'IO List'!C85),"")</f>
        <v/>
      </c>
      <c r="D85" s="33" t="str">
        <f>IF('IO List'!B85="IOs",CONCATENATE(": ",'IO List'!D85,";"),"")</f>
        <v/>
      </c>
      <c r="E85" s="33" t="str">
        <f>IF('IO List'!B85="IOs",CONCATENATE("// ",'IO List'!F85),"")</f>
        <v/>
      </c>
      <c r="G85" s="70" t="str">
        <f t="shared" si="1"/>
        <v>Group</v>
      </c>
      <c r="H85" s="70" t="str">
        <f>IF('IO List'!E85="Input","Write","Read")</f>
        <v>Read</v>
      </c>
    </row>
    <row r="86" ht="14.25" customHeight="1">
      <c r="B86" s="33" t="str">
        <f>IF('IO List'!B86="IOs",CONCATENATE('IO List'!A86),"")</f>
        <v>SOP723_HMI_B1</v>
      </c>
      <c r="C86" s="33" t="str">
        <f>IF('IO List'!B86="IOs",CONCATENATE("AT %",'IO List'!C86),"")</f>
        <v>AT %MX9.5</v>
      </c>
      <c r="D86" s="33" t="str">
        <f>IF('IO List'!B86="IOs",CONCATENATE(": ",'IO List'!D86,";"),"")</f>
        <v>: BOOL;</v>
      </c>
      <c r="E86" s="33" t="str">
        <f>IF('IO List'!B86="IOs",CONCATENATE("// ",'IO List'!F86),"")</f>
        <v>// Mute Light Curtain. Rope Out</v>
      </c>
      <c r="G86" s="70" t="str">
        <f t="shared" si="1"/>
        <v>Digital</v>
      </c>
      <c r="H86" s="70" t="str">
        <f>IF('IO List'!E86="Input","Write","Read")</f>
        <v>Write</v>
      </c>
    </row>
    <row r="87" ht="14.25" customHeight="1">
      <c r="B87" s="33" t="str">
        <f>IF('IO List'!B87="IOs",CONCATENATE('IO List'!A87),"")</f>
        <v>SOP720_HMI_B2</v>
      </c>
      <c r="C87" s="33" t="str">
        <f>IF('IO List'!B87="IOs",CONCATENATE("AT %",'IO List'!C87),"")</f>
        <v>AT %MX9.6</v>
      </c>
      <c r="D87" s="33" t="str">
        <f>IF('IO List'!B87="IOs",CONCATENATE(": ",'IO List'!D87,";"),"")</f>
        <v>: BOOL;</v>
      </c>
      <c r="E87" s="33" t="str">
        <f>IF('IO List'!B87="IOs",CONCATENATE("// ",'IO List'!F87),"")</f>
        <v>// Mute Light Curtain. In</v>
      </c>
      <c r="G87" s="70" t="str">
        <f t="shared" si="1"/>
        <v>Digital</v>
      </c>
      <c r="H87" s="70" t="str">
        <f>IF('IO List'!E87="Input","Write","Read")</f>
        <v>Write</v>
      </c>
    </row>
    <row r="88" ht="14.25" customHeight="1">
      <c r="B88" s="33" t="str">
        <f>IF('IO List'!B88="IOs",CONCATENATE('IO List'!A88),"")</f>
        <v>SOP723_HMI_B2</v>
      </c>
      <c r="C88" s="33" t="str">
        <f>IF('IO List'!B88="IOs",CONCATENATE("AT %",'IO List'!C88),"")</f>
        <v>AT %MX9.7</v>
      </c>
      <c r="D88" s="33" t="str">
        <f>IF('IO List'!B88="IOs",CONCATENATE(": ",'IO List'!D88,";"),"")</f>
        <v>: BOOL;</v>
      </c>
      <c r="E88" s="33" t="str">
        <f>IF('IO List'!B88="IOs",CONCATENATE("// ",'IO List'!F88),"")</f>
        <v>// Mute Light Curtain. In</v>
      </c>
      <c r="G88" s="70" t="str">
        <f t="shared" si="1"/>
        <v>Digital</v>
      </c>
      <c r="H88" s="70" t="str">
        <f>IF('IO List'!E88="Input","Write","Read")</f>
        <v>Write</v>
      </c>
    </row>
    <row r="89" ht="14.25" customHeight="1">
      <c r="B89" s="33" t="str">
        <f>IF('IO List'!B89="IOs",CONCATENATE('IO List'!A89),"")</f>
        <v/>
      </c>
      <c r="C89" s="33" t="str">
        <f>IF('IO List'!B89="IOs",CONCATENATE("AT %",'IO List'!C89),"")</f>
        <v/>
      </c>
      <c r="D89" s="33" t="str">
        <f>IF('IO List'!B89="IOs",CONCATENATE(": ",'IO List'!D89,";"),"")</f>
        <v/>
      </c>
      <c r="E89" s="33" t="str">
        <f>IF('IO List'!B89="IOs",CONCATENATE("// ",'IO List'!F89),"")</f>
        <v/>
      </c>
      <c r="G89" s="70" t="str">
        <f t="shared" si="1"/>
        <v>Group</v>
      </c>
      <c r="H89" s="70" t="str">
        <f>IF('IO List'!E89="Input","Write","Read")</f>
        <v>Read</v>
      </c>
    </row>
    <row r="90" ht="14.25" customHeight="1">
      <c r="B90" s="33" t="str">
        <f>IF('IO List'!B90="IOs",CONCATENATE('IO List'!A90),"")</f>
        <v>SOP720_B9</v>
      </c>
      <c r="C90" s="33" t="str">
        <f>IF('IO List'!B90="IOs",CONCATENATE("AT %",'IO List'!C90),"")</f>
        <v>AT %MX10.0</v>
      </c>
      <c r="D90" s="33" t="str">
        <f>IF('IO List'!B90="IOs",CONCATENATE(": ",'IO List'!D90,";"),"")</f>
        <v>: BOOL;</v>
      </c>
      <c r="E90" s="33" t="str">
        <f>IF('IO List'!B90="IOs",CONCATENATE("// ",'IO List'!F90),"")</f>
        <v>// Button. Rotate clockwise before refilling</v>
      </c>
      <c r="G90" s="70" t="str">
        <f t="shared" si="1"/>
        <v>Digital</v>
      </c>
      <c r="H90" s="70" t="str">
        <f>IF('IO List'!E90="Input","Write","Read")</f>
        <v>Write</v>
      </c>
    </row>
    <row r="91" ht="14.25" customHeight="1">
      <c r="B91" s="33" t="str">
        <f>IF('IO List'!B91="IOs",CONCATENATE('IO List'!A91),"")</f>
        <v>SOP713_B4</v>
      </c>
      <c r="C91" s="33" t="str">
        <f>IF('IO List'!B91="IOs",CONCATENATE("AT %",'IO List'!C91),"")</f>
        <v>AT %MX10.1</v>
      </c>
      <c r="D91" s="33" t="str">
        <f>IF('IO List'!B91="IOs",CONCATENATE(": ",'IO List'!D91,";"),"")</f>
        <v>: BOOL;</v>
      </c>
      <c r="E91" s="33" t="str">
        <f>IF('IO List'!B91="IOs",CONCATENATE("// ",'IO List'!F91),"")</f>
        <v>// Front Clamp UpSensor</v>
      </c>
      <c r="G91" s="70" t="str">
        <f t="shared" si="1"/>
        <v>Digital</v>
      </c>
      <c r="H91" s="70" t="str">
        <f>IF('IO List'!E91="Input","Write","Read")</f>
        <v>Write</v>
      </c>
    </row>
    <row r="92" ht="14.25" customHeight="1">
      <c r="B92" s="33" t="str">
        <f>IF('IO List'!B92="IOs",CONCATENATE('IO List'!A92),"")</f>
        <v>SOP713_B5</v>
      </c>
      <c r="C92" s="33" t="str">
        <f>IF('IO List'!B92="IOs",CONCATENATE("AT %",'IO List'!C92),"")</f>
        <v>AT %MX10.2</v>
      </c>
      <c r="D92" s="33" t="str">
        <f>IF('IO List'!B92="IOs",CONCATENATE(": ",'IO List'!D92,";"),"")</f>
        <v>: BOOL;</v>
      </c>
      <c r="E92" s="33" t="str">
        <f>IF('IO List'!B92="IOs",CONCATENATE("// ",'IO List'!F92),"")</f>
        <v>// Rear Clamp Up Sensor</v>
      </c>
      <c r="G92" s="70" t="str">
        <f t="shared" si="1"/>
        <v>Digital</v>
      </c>
      <c r="H92" s="70" t="str">
        <f>IF('IO List'!E92="Input","Write","Read")</f>
        <v>Write</v>
      </c>
    </row>
    <row r="93" ht="14.25" customHeight="1">
      <c r="B93" s="33" t="str">
        <f>IF('IO List'!B93="IOs",CONCATENATE('IO List'!A93),"")</f>
        <v>SOP730_B4</v>
      </c>
      <c r="C93" s="33" t="str">
        <f>IF('IO List'!B93="IOs",CONCATENATE("AT %",'IO List'!C93),"")</f>
        <v>AT %MX10.3</v>
      </c>
      <c r="D93" s="33" t="str">
        <f>IF('IO List'!B93="IOs",CONCATENATE(": ",'IO List'!D93,";"),"")</f>
        <v>: BOOL;</v>
      </c>
      <c r="E93" s="33" t="str">
        <f>IF('IO List'!B93="IOs",CONCATENATE("// ",'IO List'!F93),"")</f>
        <v>// Front Clamp Up Sensor</v>
      </c>
      <c r="G93" s="70" t="str">
        <f t="shared" si="1"/>
        <v>Digital</v>
      </c>
      <c r="H93" s="70" t="str">
        <f>IF('IO List'!E93="Input","Write","Read")</f>
        <v>Write</v>
      </c>
    </row>
    <row r="94" ht="14.25" customHeight="1">
      <c r="B94" s="33" t="str">
        <f>IF('IO List'!B94="IOs",CONCATENATE('IO List'!A94),"")</f>
        <v>SOP730_B5</v>
      </c>
      <c r="C94" s="33" t="str">
        <f>IF('IO List'!B94="IOs",CONCATENATE("AT %",'IO List'!C94),"")</f>
        <v>AT %MX10.4</v>
      </c>
      <c r="D94" s="33" t="str">
        <f>IF('IO List'!B94="IOs",CONCATENATE(": ",'IO List'!D94,";"),"")</f>
        <v>: BOOL;</v>
      </c>
      <c r="E94" s="33" t="str">
        <f>IF('IO List'!B94="IOs",CONCATENATE("// ",'IO List'!F94),"")</f>
        <v>// Rear Clamp Up Sensor</v>
      </c>
      <c r="G94" s="70" t="str">
        <f t="shared" si="1"/>
        <v>Digital</v>
      </c>
      <c r="H94" s="70" t="str">
        <f>IF('IO List'!E94="Input","Write","Read")</f>
        <v>Write</v>
      </c>
    </row>
    <row r="95" ht="14.25" customHeight="1">
      <c r="B95" s="33" t="str">
        <f>IF('IO List'!B95="IOs",CONCATENATE('IO List'!A95),"")</f>
        <v/>
      </c>
      <c r="C95" s="33" t="str">
        <f>IF('IO List'!B95="IOs",CONCATENATE("AT %",'IO List'!C95),"")</f>
        <v/>
      </c>
      <c r="D95" s="33" t="str">
        <f>IF('IO List'!B95="IOs",CONCATENATE(": ",'IO List'!D95,";"),"")</f>
        <v/>
      </c>
      <c r="E95" s="33" t="str">
        <f>IF('IO List'!B95="IOs",CONCATENATE("// ",'IO List'!F95),"")</f>
        <v/>
      </c>
      <c r="G95" s="70" t="str">
        <f t="shared" si="1"/>
        <v>Group</v>
      </c>
      <c r="H95" s="70" t="str">
        <f>IF('IO List'!E95="Input","Write","Read")</f>
        <v>Read</v>
      </c>
    </row>
    <row r="96" ht="14.25" customHeight="1">
      <c r="B96" s="33" t="str">
        <f>IF('IO List'!B96="IOs",CONCATENATE('IO List'!A96),"")</f>
        <v/>
      </c>
      <c r="C96" s="33" t="str">
        <f>IF('IO List'!B96="IOs",CONCATENATE("AT %",'IO List'!C96),"")</f>
        <v/>
      </c>
      <c r="D96" s="33" t="str">
        <f>IF('IO List'!B96="IOs",CONCATENATE(": ",'IO List'!D96,";"),"")</f>
        <v/>
      </c>
      <c r="E96" s="33" t="str">
        <f>IF('IO List'!B96="IOs",CONCATENATE("// ",'IO List'!F96),"")</f>
        <v/>
      </c>
      <c r="G96" s="70" t="str">
        <f t="shared" si="1"/>
        <v>Group</v>
      </c>
      <c r="H96" s="70" t="str">
        <f>IF('IO List'!E96="Input","Write","Read")</f>
        <v>Read</v>
      </c>
    </row>
    <row r="97" ht="14.25" customHeight="1">
      <c r="B97" s="33" t="str">
        <f>IF('IO List'!B97="IOs",CONCATENATE('IO List'!A97),"")</f>
        <v/>
      </c>
      <c r="C97" s="33" t="str">
        <f>IF('IO List'!B97="IOs",CONCATENATE("AT %",'IO List'!C97),"")</f>
        <v/>
      </c>
      <c r="D97" s="33" t="str">
        <f>IF('IO List'!B97="IOs",CONCATENATE(": ",'IO List'!D97,";"),"")</f>
        <v/>
      </c>
      <c r="E97" s="33" t="str">
        <f>IF('IO List'!B97="IOs",CONCATENATE("// ",'IO List'!F97),"")</f>
        <v/>
      </c>
      <c r="G97" s="70" t="str">
        <f t="shared" si="1"/>
        <v>Group</v>
      </c>
      <c r="H97" s="70" t="str">
        <f>IF('IO List'!E97="Input","Write","Read")</f>
        <v>Read</v>
      </c>
    </row>
    <row r="98" ht="14.25" customHeight="1">
      <c r="B98" s="33" t="str">
        <f>IF('IO List'!B98="IOs",CONCATENATE('IO List'!A98),"")</f>
        <v/>
      </c>
      <c r="C98" s="33" t="str">
        <f>IF('IO List'!B98="IOs",CONCATENATE("AT %",'IO List'!C98),"")</f>
        <v/>
      </c>
      <c r="D98" s="33" t="str">
        <f>IF('IO List'!B98="IOs",CONCATENATE(": ",'IO List'!D98,";"),"")</f>
        <v/>
      </c>
      <c r="E98" s="33" t="str">
        <f>IF('IO List'!B98="IOs",CONCATENATE("// ",'IO List'!F98),"")</f>
        <v/>
      </c>
      <c r="G98" s="70" t="str">
        <f t="shared" si="1"/>
        <v>Group</v>
      </c>
      <c r="H98" s="70" t="str">
        <f>IF('IO List'!E98="Input","Write","Read")</f>
        <v>Read</v>
      </c>
    </row>
    <row r="99" ht="14.25" customHeight="1">
      <c r="B99" s="33" t="str">
        <f>IF('IO List'!B99="IOs",CONCATENATE('IO List'!A99),"")</f>
        <v/>
      </c>
      <c r="C99" s="33" t="str">
        <f>IF('IO List'!B99="IOs",CONCATENATE("AT %",'IO List'!C99),"")</f>
        <v/>
      </c>
      <c r="D99" s="33" t="str">
        <f>IF('IO List'!B99="IOs",CONCATENATE(": ",'IO List'!D99,";"),"")</f>
        <v/>
      </c>
      <c r="E99" s="33" t="str">
        <f>IF('IO List'!B99="IOs",CONCATENATE("// ",'IO List'!F99),"")</f>
        <v/>
      </c>
      <c r="G99" s="70" t="str">
        <f t="shared" si="1"/>
        <v>Group</v>
      </c>
      <c r="H99" s="70" t="str">
        <f>IF('IO List'!E99="Input","Write","Read")</f>
        <v>Read</v>
      </c>
    </row>
    <row r="100" ht="14.25" customHeight="1">
      <c r="B100" s="33" t="str">
        <f>IF('IO List'!B100="IOs",CONCATENATE('IO List'!A100),"")</f>
        <v/>
      </c>
      <c r="C100" s="33" t="str">
        <f>IF('IO List'!B100="IOs",CONCATENATE("AT %",'IO List'!C100),"")</f>
        <v/>
      </c>
      <c r="D100" s="33" t="str">
        <f>IF('IO List'!B100="IOs",CONCATENATE(": ",'IO List'!D100,";"),"")</f>
        <v/>
      </c>
      <c r="E100" s="33" t="str">
        <f>IF('IO List'!B100="IOs",CONCATENATE("// ",'IO List'!F100),"")</f>
        <v/>
      </c>
      <c r="G100" s="70" t="str">
        <f t="shared" si="1"/>
        <v>Group</v>
      </c>
      <c r="H100" s="70" t="str">
        <f>IF('IO List'!E100="Input","Write","Read")</f>
        <v>Read</v>
      </c>
    </row>
    <row r="101" ht="14.25" customHeight="1">
      <c r="B101" s="33" t="str">
        <f>IF('IO List'!B101="IOs",CONCATENATE('IO List'!A101),"")</f>
        <v/>
      </c>
      <c r="C101" s="33" t="str">
        <f>IF('IO List'!B101="IOs",CONCATENATE("AT %",'IO List'!C101),"")</f>
        <v/>
      </c>
      <c r="D101" s="33" t="str">
        <f>IF('IO List'!B101="IOs",CONCATENATE(": ",'IO List'!D101,";"),"")</f>
        <v/>
      </c>
      <c r="E101" s="33" t="str">
        <f>IF('IO List'!B101="IOs",CONCATENATE("// ",'IO List'!F101),"")</f>
        <v/>
      </c>
      <c r="G101" s="70" t="str">
        <f t="shared" si="1"/>
        <v>Group</v>
      </c>
      <c r="H101" s="70" t="str">
        <f>IF('IO List'!E101="Input","Write","Read")</f>
        <v>Read</v>
      </c>
    </row>
    <row r="102" ht="14.25" customHeight="1">
      <c r="B102" s="33" t="str">
        <f>IF('IO List'!B102="IOs",CONCATENATE('IO List'!A102),"")</f>
        <v/>
      </c>
      <c r="C102" s="33" t="str">
        <f>IF('IO List'!B102="IOs",CONCATENATE("AT %",'IO List'!C102),"")</f>
        <v/>
      </c>
      <c r="D102" s="33" t="str">
        <f>IF('IO List'!B102="IOs",CONCATENATE(": ",'IO List'!D102,";"),"")</f>
        <v/>
      </c>
      <c r="E102" s="33" t="str">
        <f>IF('IO List'!B102="IOs",CONCATENATE("// ",'IO List'!F102),"")</f>
        <v/>
      </c>
      <c r="G102" s="70" t="str">
        <f t="shared" si="1"/>
        <v>Group</v>
      </c>
      <c r="H102" s="70" t="str">
        <f>IF('IO List'!E102="Input","Write","Read")</f>
        <v>Read</v>
      </c>
    </row>
    <row r="103" ht="14.25" customHeight="1">
      <c r="B103" s="33" t="str">
        <f>IF('IO List'!B103="IOs",CONCATENATE('IO List'!A103),"")</f>
        <v/>
      </c>
      <c r="C103" s="33" t="str">
        <f>IF('IO List'!B103="IOs",CONCATENATE("AT %",'IO List'!C103),"")</f>
        <v/>
      </c>
      <c r="D103" s="33" t="str">
        <f>IF('IO List'!B103="IOs",CONCATENATE(": ",'IO List'!D103,";"),"")</f>
        <v/>
      </c>
      <c r="E103" s="33" t="str">
        <f>IF('IO List'!B103="IOs",CONCATENATE("// ",'IO List'!F103),"")</f>
        <v/>
      </c>
      <c r="G103" s="70" t="str">
        <f t="shared" si="1"/>
        <v>Group</v>
      </c>
      <c r="H103" s="70" t="str">
        <f>IF('IO List'!E103="Input","Write","Read")</f>
        <v>Read</v>
      </c>
    </row>
    <row r="104" ht="14.25" customHeight="1">
      <c r="B104" s="33" t="str">
        <f>IF('IO List'!B104="IOs",CONCATENATE('IO List'!A104),"")</f>
        <v/>
      </c>
      <c r="C104" s="33" t="str">
        <f>IF('IO List'!B104="IOs",CONCATENATE("AT %",'IO List'!C104),"")</f>
        <v/>
      </c>
      <c r="D104" s="33" t="str">
        <f>IF('IO List'!B104="IOs",CONCATENATE(": ",'IO List'!D104,";"),"")</f>
        <v/>
      </c>
      <c r="E104" s="33" t="str">
        <f>IF('IO List'!B104="IOs",CONCATENATE("// ",'IO List'!F104),"")</f>
        <v/>
      </c>
      <c r="G104" s="70" t="str">
        <f t="shared" si="1"/>
        <v>Group</v>
      </c>
      <c r="H104" s="70" t="str">
        <f>IF('IO List'!E104="Input","Write","Read")</f>
        <v>Read</v>
      </c>
    </row>
    <row r="105" ht="14.25" customHeight="1">
      <c r="B105" s="33" t="str">
        <f>IF('IO List'!B105="IOs",CONCATENATE('IO List'!A105),"")</f>
        <v/>
      </c>
      <c r="C105" s="33" t="str">
        <f>IF('IO List'!B105="IOs",CONCATENATE("AT %",'IO List'!C105),"")</f>
        <v/>
      </c>
      <c r="D105" s="33" t="str">
        <f>IF('IO List'!B105="IOs",CONCATENATE(": ",'IO List'!D105,";"),"")</f>
        <v/>
      </c>
      <c r="E105" s="33" t="str">
        <f>IF('IO List'!B105="IOs",CONCATENATE("// ",'IO List'!F105),"")</f>
        <v/>
      </c>
      <c r="G105" s="70" t="str">
        <f t="shared" si="1"/>
        <v>Group</v>
      </c>
      <c r="H105" s="70" t="str">
        <f>IF('IO List'!E105="Input","Write","Read")</f>
        <v>Read</v>
      </c>
    </row>
    <row r="106" ht="14.25" customHeight="1">
      <c r="B106" s="33" t="str">
        <f>IF('IO List'!B106="IOs",CONCATENATE('IO List'!A106),"")</f>
        <v/>
      </c>
      <c r="C106" s="33" t="str">
        <f>IF('IO List'!B106="IOs",CONCATENATE("AT %",'IO List'!C106),"")</f>
        <v/>
      </c>
      <c r="D106" s="33" t="str">
        <f>IF('IO List'!B106="IOs",CONCATENATE(": ",'IO List'!D106,";"),"")</f>
        <v/>
      </c>
      <c r="E106" s="33" t="str">
        <f>IF('IO List'!B106="IOs",CONCATENATE("// ",'IO List'!F106),"")</f>
        <v/>
      </c>
      <c r="G106" s="70" t="str">
        <f t="shared" si="1"/>
        <v>Group</v>
      </c>
      <c r="H106" s="70" t="str">
        <f>IF('IO List'!E106="Input","Write","Read")</f>
        <v>Read</v>
      </c>
    </row>
    <row r="107" ht="14.25" customHeight="1">
      <c r="B107" s="33" t="str">
        <f>IF('IO List'!B107="IOs",CONCATENATE('IO List'!A107),"")</f>
        <v/>
      </c>
      <c r="C107" s="33" t="str">
        <f>IF('IO List'!B107="IOs",CONCATENATE("AT %",'IO List'!C107),"")</f>
        <v/>
      </c>
      <c r="D107" s="33" t="str">
        <f>IF('IO List'!B107="IOs",CONCATENATE(": ",'IO List'!D107,";"),"")</f>
        <v/>
      </c>
      <c r="E107" s="33" t="str">
        <f>IF('IO List'!B107="IOs",CONCATENATE("// ",'IO List'!F107),"")</f>
        <v/>
      </c>
      <c r="G107" s="70" t="str">
        <f t="shared" si="1"/>
        <v>Group</v>
      </c>
      <c r="H107" s="70" t="str">
        <f>IF('IO List'!E107="Input","Write","Read")</f>
        <v>Read</v>
      </c>
    </row>
    <row r="108" ht="14.25" customHeight="1">
      <c r="B108" s="33" t="str">
        <f>IF('IO List'!B108="IOs",CONCATENATE('IO List'!A108),"")</f>
        <v/>
      </c>
      <c r="C108" s="33" t="str">
        <f>IF('IO List'!B108="IOs",CONCATENATE("AT %",'IO List'!C108),"")</f>
        <v/>
      </c>
      <c r="D108" s="33" t="str">
        <f>IF('IO List'!B108="IOs",CONCATENATE(": ",'IO List'!D108,";"),"")</f>
        <v/>
      </c>
      <c r="E108" s="33" t="str">
        <f>IF('IO List'!B108="IOs",CONCATENATE("// ",'IO List'!F108),"")</f>
        <v/>
      </c>
      <c r="G108" s="70" t="str">
        <f t="shared" si="1"/>
        <v>Group</v>
      </c>
      <c r="H108" s="70" t="str">
        <f>IF('IO List'!E108="Input","Write","Read")</f>
        <v>Read</v>
      </c>
    </row>
    <row r="109" ht="14.25" customHeight="1">
      <c r="B109" s="33" t="str">
        <f>IF('IO List'!B109="IOs",CONCATENATE('IO List'!A109),"")</f>
        <v/>
      </c>
      <c r="C109" s="33" t="str">
        <f>IF('IO List'!B109="IOs",CONCATENATE("AT %",'IO List'!C109),"")</f>
        <v/>
      </c>
      <c r="D109" s="33" t="str">
        <f>IF('IO List'!B109="IOs",CONCATENATE(": ",'IO List'!D109,";"),"")</f>
        <v/>
      </c>
      <c r="E109" s="33" t="str">
        <f>IF('IO List'!B109="IOs",CONCATENATE("// ",'IO List'!F109),"")</f>
        <v/>
      </c>
      <c r="G109" s="70" t="str">
        <f t="shared" si="1"/>
        <v>Group</v>
      </c>
      <c r="H109" s="70" t="str">
        <f>IF('IO List'!E109="Input","Write","Read")</f>
        <v>Read</v>
      </c>
    </row>
    <row r="110" ht="14.25" customHeight="1">
      <c r="B110" s="33" t="str">
        <f>IF('IO List'!B110="IOs",CONCATENATE('IO List'!A110),"")</f>
        <v/>
      </c>
      <c r="C110" s="33" t="str">
        <f>IF('IO List'!B110="IOs",CONCATENATE("AT %",'IO List'!C110),"")</f>
        <v/>
      </c>
      <c r="D110" s="33" t="str">
        <f>IF('IO List'!B110="IOs",CONCATENATE(": ",'IO List'!D110,";"),"")</f>
        <v/>
      </c>
      <c r="E110" s="33" t="str">
        <f>IF('IO List'!B110="IOs",CONCATENATE("// ",'IO List'!F110),"")</f>
        <v/>
      </c>
      <c r="G110" s="70" t="str">
        <f t="shared" si="1"/>
        <v>Group</v>
      </c>
      <c r="H110" s="70" t="str">
        <f>IF('IO List'!E110="Input","Write","Read")</f>
        <v>Read</v>
      </c>
    </row>
    <row r="111" ht="14.25" customHeight="1">
      <c r="B111" s="33" t="str">
        <f>IF('IO List'!B111="IOs",CONCATENATE('IO List'!A111),"")</f>
        <v/>
      </c>
      <c r="C111" s="33" t="str">
        <f>IF('IO List'!B111="IOs",CONCATENATE("AT %",'IO List'!C111),"")</f>
        <v/>
      </c>
      <c r="D111" s="33" t="str">
        <f>IF('IO List'!B111="IOs",CONCATENATE(": ",'IO List'!D111,";"),"")</f>
        <v/>
      </c>
      <c r="E111" s="33" t="str">
        <f>IF('IO List'!B111="IOs",CONCATENATE("// ",'IO List'!F111),"")</f>
        <v/>
      </c>
      <c r="G111" s="70" t="str">
        <f t="shared" si="1"/>
        <v>Group</v>
      </c>
      <c r="H111" s="70" t="str">
        <f>IF('IO List'!E111="Input","Write","Read")</f>
        <v>Read</v>
      </c>
    </row>
    <row r="112" ht="14.25" customHeight="1">
      <c r="B112" s="33" t="str">
        <f>IF('IO List'!B112="IOs",CONCATENATE('IO List'!A112),"")</f>
        <v/>
      </c>
      <c r="C112" s="33" t="str">
        <f>IF('IO List'!B112="IOs",CONCATENATE("AT %",'IO List'!C112),"")</f>
        <v/>
      </c>
      <c r="D112" s="33" t="str">
        <f>IF('IO List'!B112="IOs",CONCATENATE(": ",'IO List'!D112,";"),"")</f>
        <v/>
      </c>
      <c r="E112" s="33" t="str">
        <f>IF('IO List'!B112="IOs",CONCATENATE("// ",'IO List'!F112),"")</f>
        <v/>
      </c>
      <c r="G112" s="70" t="str">
        <f t="shared" si="1"/>
        <v>Group</v>
      </c>
      <c r="H112" s="70" t="str">
        <f>IF('IO List'!E112="Input","Write","Read")</f>
        <v>Read</v>
      </c>
    </row>
    <row r="113" ht="14.25" customHeight="1">
      <c r="B113" s="33" t="str">
        <f>IF('IO List'!B113="IOs",CONCATENATE('IO List'!A113),"")</f>
        <v/>
      </c>
      <c r="C113" s="33" t="str">
        <f>IF('IO List'!B113="IOs",CONCATENATE("AT %",'IO List'!C113),"")</f>
        <v/>
      </c>
      <c r="D113" s="33" t="str">
        <f>IF('IO List'!B113="IOs",CONCATENATE(": ",'IO List'!D113,";"),"")</f>
        <v/>
      </c>
      <c r="E113" s="33" t="str">
        <f>IF('IO List'!B113="IOs",CONCATENATE("// ",'IO List'!F113),"")</f>
        <v/>
      </c>
      <c r="G113" s="70" t="str">
        <f t="shared" si="1"/>
        <v>Group</v>
      </c>
      <c r="H113" s="70" t="str">
        <f>IF('IO List'!E113="Input","Write","Read")</f>
        <v>Read</v>
      </c>
    </row>
    <row r="114" ht="14.25" customHeight="1">
      <c r="B114" s="33" t="str">
        <f>IF('IO List'!B114="IOs",CONCATENATE('IO List'!A114),"")</f>
        <v/>
      </c>
      <c r="C114" s="33" t="str">
        <f>IF('IO List'!B114="IOs",CONCATENATE("AT %",'IO List'!C114),"")</f>
        <v/>
      </c>
      <c r="D114" s="33" t="str">
        <f>IF('IO List'!B114="IOs",CONCATENATE(": ",'IO List'!D114,";"),"")</f>
        <v/>
      </c>
      <c r="E114" s="33" t="str">
        <f>IF('IO List'!B114="IOs",CONCATENATE("// ",'IO List'!F114),"")</f>
        <v/>
      </c>
      <c r="G114" s="70" t="str">
        <f t="shared" si="1"/>
        <v>Group</v>
      </c>
      <c r="H114" s="70" t="str">
        <f>IF('IO List'!E114="Input","Write","Read")</f>
        <v>Read</v>
      </c>
    </row>
    <row r="115" ht="14.25" customHeight="1">
      <c r="B115" s="33" t="str">
        <f>IF('IO List'!B115="IOs",CONCATENATE('IO List'!A115),"")</f>
        <v/>
      </c>
      <c r="C115" s="33" t="str">
        <f>IF('IO List'!B115="IOs",CONCATENATE("AT %",'IO List'!C115),"")</f>
        <v/>
      </c>
      <c r="D115" s="33" t="str">
        <f>IF('IO List'!B115="IOs",CONCATENATE(": ",'IO List'!D115,";"),"")</f>
        <v/>
      </c>
      <c r="E115" s="33" t="str">
        <f>IF('IO List'!B115="IOs",CONCATENATE("// ",'IO List'!F115),"")</f>
        <v/>
      </c>
      <c r="G115" s="70" t="str">
        <f t="shared" si="1"/>
        <v>Group</v>
      </c>
      <c r="H115" s="70" t="str">
        <f>IF('IO List'!E115="Input","Write","Read")</f>
        <v>Read</v>
      </c>
    </row>
    <row r="116" ht="14.25" customHeight="1">
      <c r="B116" s="33" t="str">
        <f>IF('IO List'!B116="IOs",CONCATENATE('IO List'!A116),"")</f>
        <v/>
      </c>
      <c r="C116" s="33" t="str">
        <f>IF('IO List'!B116="IOs",CONCATENATE("AT %",'IO List'!C116),"")</f>
        <v/>
      </c>
      <c r="D116" s="33" t="str">
        <f>IF('IO List'!B116="IOs",CONCATENATE(": ",'IO List'!D116,";"),"")</f>
        <v/>
      </c>
      <c r="E116" s="33" t="str">
        <f>IF('IO List'!B116="IOs",CONCATENATE("// ",'IO List'!F116),"")</f>
        <v/>
      </c>
      <c r="G116" s="70" t="str">
        <f t="shared" si="1"/>
        <v>Group</v>
      </c>
      <c r="H116" s="70" t="str">
        <f>IF('IO List'!E116="Input","Write","Read")</f>
        <v>Read</v>
      </c>
    </row>
    <row r="117" ht="14.25" customHeight="1">
      <c r="B117" s="33" t="str">
        <f>IF('IO List'!B117="IOs",CONCATENATE('IO List'!A117),"")</f>
        <v/>
      </c>
      <c r="C117" s="33" t="str">
        <f>IF('IO List'!B117="IOs",CONCATENATE("AT %",'IO List'!C117),"")</f>
        <v/>
      </c>
      <c r="D117" s="33" t="str">
        <f>IF('IO List'!B117="IOs",CONCATENATE(": ",'IO List'!D117,";"),"")</f>
        <v/>
      </c>
      <c r="E117" s="33" t="str">
        <f>IF('IO List'!B117="IOs",CONCATENATE("// ",'IO List'!F117),"")</f>
        <v/>
      </c>
      <c r="G117" s="70" t="str">
        <f t="shared" si="1"/>
        <v>Group</v>
      </c>
      <c r="H117" s="70" t="str">
        <f>IF('IO List'!E117="Input","Write","Read")</f>
        <v>Read</v>
      </c>
    </row>
    <row r="118" ht="14.25" customHeight="1">
      <c r="B118" s="33" t="str">
        <f>IF('IO List'!B118="IOs",CONCATENATE('IO List'!A118),"")</f>
        <v/>
      </c>
      <c r="C118" s="33" t="str">
        <f>IF('IO List'!B118="IOs",CONCATENATE("AT %",'IO List'!C118),"")</f>
        <v/>
      </c>
      <c r="D118" s="33" t="str">
        <f>IF('IO List'!B118="IOs",CONCATENATE(": ",'IO List'!D118,";"),"")</f>
        <v/>
      </c>
      <c r="E118" s="33" t="str">
        <f>IF('IO List'!B118="IOs",CONCATENATE("// ",'IO List'!F118),"")</f>
        <v/>
      </c>
      <c r="G118" s="70" t="str">
        <f t="shared" si="1"/>
        <v>Group</v>
      </c>
      <c r="H118" s="70" t="str">
        <f>IF('IO List'!E118="Input","Write","Read")</f>
        <v>Read</v>
      </c>
    </row>
    <row r="119" ht="14.25" customHeight="1">
      <c r="B119" s="33" t="str">
        <f>IF('IO List'!B119="IOs",CONCATENATE('IO List'!A119),"")</f>
        <v/>
      </c>
      <c r="C119" s="33" t="str">
        <f>IF('IO List'!B119="IOs",CONCATENATE("AT %",'IO List'!C119),"")</f>
        <v/>
      </c>
      <c r="D119" s="33" t="str">
        <f>IF('IO List'!B119="IOs",CONCATENATE(": ",'IO List'!D119,";"),"")</f>
        <v/>
      </c>
      <c r="E119" s="33" t="str">
        <f>IF('IO List'!B119="IOs",CONCATENATE("// ",'IO List'!F119),"")</f>
        <v/>
      </c>
      <c r="G119" s="70" t="str">
        <f t="shared" si="1"/>
        <v>Group</v>
      </c>
      <c r="H119" s="70" t="str">
        <f>IF('IO List'!E119="Input","Write","Read")</f>
        <v>Read</v>
      </c>
    </row>
    <row r="120" ht="14.25" customHeight="1">
      <c r="B120" s="33" t="str">
        <f>IF('IO List'!B120="IOs",CONCATENATE('IO List'!A120),"")</f>
        <v/>
      </c>
      <c r="C120" s="33" t="str">
        <f>IF('IO List'!B120="IOs",CONCATENATE("AT %",'IO List'!C120),"")</f>
        <v/>
      </c>
      <c r="D120" s="33" t="str">
        <f>IF('IO List'!B120="IOs",CONCATENATE(": ",'IO List'!D120,";"),"")</f>
        <v/>
      </c>
      <c r="E120" s="33" t="str">
        <f>IF('IO List'!B120="IOs",CONCATENATE("// ",'IO List'!F120),"")</f>
        <v/>
      </c>
      <c r="G120" s="70" t="str">
        <f t="shared" si="1"/>
        <v>Group</v>
      </c>
      <c r="H120" s="70" t="str">
        <f>IF('IO List'!E120="Input","Write","Read")</f>
        <v>Read</v>
      </c>
    </row>
    <row r="121" ht="14.25" customHeight="1">
      <c r="B121" s="33" t="str">
        <f>IF('IO List'!B121="IOs",CONCATENATE('IO List'!A121),"")</f>
        <v/>
      </c>
      <c r="C121" s="33" t="str">
        <f>IF('IO List'!B121="IOs",CONCATENATE("AT %",'IO List'!C121),"")</f>
        <v/>
      </c>
      <c r="D121" s="33" t="str">
        <f>IF('IO List'!B121="IOs",CONCATENATE(": ",'IO List'!D121,";"),"")</f>
        <v/>
      </c>
      <c r="E121" s="33" t="str">
        <f>IF('IO List'!B121="IOs",CONCATENATE("// ",'IO List'!F121),"")</f>
        <v/>
      </c>
      <c r="G121" s="70" t="str">
        <f t="shared" si="1"/>
        <v>Group</v>
      </c>
      <c r="H121" s="70" t="str">
        <f>IF('IO List'!E121="Input","Write","Read")</f>
        <v>Read</v>
      </c>
    </row>
    <row r="122" ht="14.25" customHeight="1">
      <c r="B122" s="33" t="str">
        <f>IF('IO List'!B122="IOs",CONCATENATE('IO List'!A122),"")</f>
        <v/>
      </c>
      <c r="C122" s="33" t="str">
        <f>IF('IO List'!B122="IOs",CONCATENATE("AT %",'IO List'!C122),"")</f>
        <v/>
      </c>
      <c r="D122" s="33" t="str">
        <f>IF('IO List'!B122="IOs",CONCATENATE(": ",'IO List'!D122,";"),"")</f>
        <v/>
      </c>
      <c r="E122" s="33" t="str">
        <f>IF('IO List'!B122="IOs",CONCATENATE("// ",'IO List'!F122),"")</f>
        <v/>
      </c>
      <c r="G122" s="70" t="str">
        <f t="shared" si="1"/>
        <v>Group</v>
      </c>
      <c r="H122" s="70" t="str">
        <f>IF('IO List'!E122="Input","Write","Read")</f>
        <v>Read</v>
      </c>
    </row>
    <row r="123" ht="14.25" customHeight="1">
      <c r="B123" s="33" t="str">
        <f>IF('IO List'!B123="IOs",CONCATENATE('IO List'!A123),"")</f>
        <v/>
      </c>
      <c r="C123" s="33" t="str">
        <f>IF('IO List'!B123="IOs",CONCATENATE("AT %",'IO List'!C123),"")</f>
        <v/>
      </c>
      <c r="D123" s="33" t="str">
        <f>IF('IO List'!B123="IOs",CONCATENATE(": ",'IO List'!D123,";"),"")</f>
        <v/>
      </c>
      <c r="E123" s="33" t="str">
        <f>IF('IO List'!B123="IOs",CONCATENATE("// ",'IO List'!F123),"")</f>
        <v/>
      </c>
      <c r="G123" s="70" t="str">
        <f t="shared" si="1"/>
        <v>Group</v>
      </c>
      <c r="H123" s="70" t="str">
        <f>IF('IO List'!E123="Input","Write","Read")</f>
        <v>Read</v>
      </c>
    </row>
    <row r="124" ht="14.25" customHeight="1">
      <c r="B124" s="33" t="str">
        <f>IF('IO List'!B124="IOs",CONCATENATE('IO List'!A124),"")</f>
        <v>SOP710_KM1</v>
      </c>
      <c r="C124" s="33" t="str">
        <f>IF('IO List'!B124="IOs",CONCATENATE("AT %",'IO List'!C124),"")</f>
        <v>AT %QX0.0</v>
      </c>
      <c r="D124" s="33" t="str">
        <f>IF('IO List'!B124="IOs",CONCATENATE(": ",'IO List'!D124,";"),"")</f>
        <v>: BOOL;</v>
      </c>
      <c r="E124" s="33" t="str">
        <f>IF('IO List'!B124="IOs",CONCATENATE("// ",'IO List'!F124),"")</f>
        <v>// Conveyor Forward</v>
      </c>
      <c r="G124" s="70" t="str">
        <f t="shared" si="1"/>
        <v>Digital</v>
      </c>
      <c r="H124" s="70" t="str">
        <f>IF('IO List'!E124="Input","Write","Read")</f>
        <v>Read</v>
      </c>
    </row>
    <row r="125" ht="14.25" customHeight="1">
      <c r="B125" s="33" t="str">
        <f>IF('IO List'!B125="IOs",CONCATENATE('IO List'!A125),"")</f>
        <v>SOP710_KM2</v>
      </c>
      <c r="C125" s="33" t="str">
        <f>IF('IO List'!B125="IOs",CONCATENATE("AT %",'IO List'!C125),"")</f>
        <v>AT %QX0.1</v>
      </c>
      <c r="D125" s="33" t="str">
        <f>IF('IO List'!B125="IOs",CONCATENATE(": ",'IO List'!D125,";"),"")</f>
        <v>: BOOL;</v>
      </c>
      <c r="E125" s="33" t="str">
        <f>IF('IO List'!B125="IOs",CONCATENATE("// ",'IO List'!F125),"")</f>
        <v>// Conveyor Reverse</v>
      </c>
      <c r="G125" s="70" t="str">
        <f t="shared" si="1"/>
        <v>Digital</v>
      </c>
      <c r="H125" s="70" t="str">
        <f>IF('IO List'!E125="Input","Write","Read")</f>
        <v>Read</v>
      </c>
    </row>
    <row r="126" ht="14.25" customHeight="1">
      <c r="B126" s="33" t="str">
        <f>IF('IO List'!B126="IOs",CONCATENATE('IO List'!A126),"")</f>
        <v>SOP711_KM1</v>
      </c>
      <c r="C126" s="33" t="str">
        <f>IF('IO List'!B126="IOs",CONCATENATE("AT %",'IO List'!C126),"")</f>
        <v>AT %QX0.2</v>
      </c>
      <c r="D126" s="33" t="str">
        <f>IF('IO List'!B126="IOs",CONCATENATE(": ",'IO List'!D126,";"),"")</f>
        <v>: BOOL;</v>
      </c>
      <c r="E126" s="33" t="str">
        <f>IF('IO List'!B126="IOs",CONCATENATE("// ",'IO List'!F126),"")</f>
        <v>// Conveyor Forward</v>
      </c>
      <c r="G126" s="70" t="str">
        <f t="shared" si="1"/>
        <v>Digital</v>
      </c>
      <c r="H126" s="70" t="str">
        <f>IF('IO List'!E126="Input","Write","Read")</f>
        <v>Read</v>
      </c>
    </row>
    <row r="127" ht="14.25" customHeight="1">
      <c r="B127" s="33" t="str">
        <f>IF('IO List'!B127="IOs",CONCATENATE('IO List'!A127),"")</f>
        <v>SOP711_KM2</v>
      </c>
      <c r="C127" s="33" t="str">
        <f>IF('IO List'!B127="IOs",CONCATENATE("AT %",'IO List'!C127),"")</f>
        <v>AT %QX0.3</v>
      </c>
      <c r="D127" s="33" t="str">
        <f>IF('IO List'!B127="IOs",CONCATENATE(": ",'IO List'!D127,";"),"")</f>
        <v>: BOOL;</v>
      </c>
      <c r="E127" s="33" t="str">
        <f>IF('IO List'!B127="IOs",CONCATENATE("// ",'IO List'!F127),"")</f>
        <v>// Conveyor Reverse</v>
      </c>
      <c r="G127" s="70" t="str">
        <f t="shared" si="1"/>
        <v>Digital</v>
      </c>
      <c r="H127" s="70" t="str">
        <f>IF('IO List'!E127="Input","Write","Read")</f>
        <v>Read</v>
      </c>
    </row>
    <row r="128" ht="14.25" customHeight="1">
      <c r="B128" s="33" t="str">
        <f>IF('IO List'!B128="IOs",CONCATENATE('IO List'!A128),"")</f>
        <v>SOP712_KM1</v>
      </c>
      <c r="C128" s="33" t="str">
        <f>IF('IO List'!B128="IOs",CONCATENATE("AT %",'IO List'!C128),"")</f>
        <v>AT %QX0.4</v>
      </c>
      <c r="D128" s="33" t="str">
        <f>IF('IO List'!B128="IOs",CONCATENATE(": ",'IO List'!D128,";"),"")</f>
        <v>: BOOL;</v>
      </c>
      <c r="E128" s="33" t="str">
        <f>IF('IO List'!B128="IOs",CONCATENATE("// ",'IO List'!F128),"")</f>
        <v>// Conveyor Forward</v>
      </c>
      <c r="G128" s="70" t="str">
        <f t="shared" si="1"/>
        <v>Digital</v>
      </c>
      <c r="H128" s="70" t="str">
        <f>IF('IO List'!E128="Input","Write","Read")</f>
        <v>Read</v>
      </c>
    </row>
    <row r="129" ht="14.25" customHeight="1">
      <c r="B129" s="33" t="str">
        <f>IF('IO List'!B129="IOs",CONCATENATE('IO List'!A129),"")</f>
        <v>SOP712_KM2</v>
      </c>
      <c r="C129" s="33" t="str">
        <f>IF('IO List'!B129="IOs",CONCATENATE("AT %",'IO List'!C129),"")</f>
        <v>AT %QX0.5</v>
      </c>
      <c r="D129" s="33" t="str">
        <f>IF('IO List'!B129="IOs",CONCATENATE(": ",'IO List'!D129,";"),"")</f>
        <v>: BOOL;</v>
      </c>
      <c r="E129" s="33" t="str">
        <f>IF('IO List'!B129="IOs",CONCATENATE("// ",'IO List'!F129),"")</f>
        <v>// Conveyor Reverse</v>
      </c>
      <c r="G129" s="70" t="str">
        <f t="shared" si="1"/>
        <v>Digital</v>
      </c>
      <c r="H129" s="70" t="str">
        <f>IF('IO List'!E129="Input","Write","Read")</f>
        <v>Read</v>
      </c>
    </row>
    <row r="130" ht="14.25" customHeight="1">
      <c r="B130" s="33" t="str">
        <f>IF('IO List'!B130="IOs",CONCATENATE('IO List'!A130),"")</f>
        <v>SOP713_KM1</v>
      </c>
      <c r="C130" s="33" t="str">
        <f>IF('IO List'!B130="IOs",CONCATENATE("AT %",'IO List'!C130),"")</f>
        <v>AT %QX0.6</v>
      </c>
      <c r="D130" s="33" t="str">
        <f>IF('IO List'!B130="IOs",CONCATENATE(": ",'IO List'!D130,";"),"")</f>
        <v>: BOOL;</v>
      </c>
      <c r="E130" s="33" t="str">
        <f>IF('IO List'!B130="IOs",CONCATENATE("// ",'IO List'!F130),"")</f>
        <v>// Conveyor Forward</v>
      </c>
      <c r="G130" s="70" t="str">
        <f t="shared" si="1"/>
        <v>Digital</v>
      </c>
      <c r="H130" s="70" t="str">
        <f>IF('IO List'!E130="Input","Write","Read")</f>
        <v>Read</v>
      </c>
    </row>
    <row r="131" ht="14.25" customHeight="1">
      <c r="B131" s="33" t="str">
        <f>IF('IO List'!B131="IOs",CONCATENATE('IO List'!A131),"")</f>
        <v>SOP713_KM2</v>
      </c>
      <c r="C131" s="33" t="str">
        <f>IF('IO List'!B131="IOs",CONCATENATE("AT %",'IO List'!C131),"")</f>
        <v>AT %QX0.7</v>
      </c>
      <c r="D131" s="33" t="str">
        <f>IF('IO List'!B131="IOs",CONCATENATE(": ",'IO List'!D131,";"),"")</f>
        <v>: BOOL;</v>
      </c>
      <c r="E131" s="33" t="str">
        <f>IF('IO List'!B131="IOs",CONCATENATE("// ",'IO List'!F131),"")</f>
        <v>// Conveyor Reverse</v>
      </c>
      <c r="G131" s="70" t="str">
        <f t="shared" si="1"/>
        <v>Digital</v>
      </c>
      <c r="H131" s="70" t="str">
        <f>IF('IO List'!E131="Input","Write","Read")</f>
        <v>Read</v>
      </c>
    </row>
    <row r="132" ht="14.25" customHeight="1">
      <c r="B132" s="33" t="str">
        <f>IF('IO List'!B132="IOs",CONCATENATE('IO List'!A132),"")</f>
        <v>SOP713_K3</v>
      </c>
      <c r="C132" s="33" t="str">
        <f>IF('IO List'!B132="IOs",CONCATENATE("AT %",'IO List'!C132),"")</f>
        <v>AT %QX1.0</v>
      </c>
      <c r="D132" s="33" t="str">
        <f>IF('IO List'!B132="IOs",CONCATENATE(": ",'IO List'!D132,";"),"")</f>
        <v>: BOOL;</v>
      </c>
      <c r="E132" s="33" t="str">
        <f>IF('IO List'!B132="IOs",CONCATENATE("// ",'IO List'!F132),"")</f>
        <v>// Front Clamp Up</v>
      </c>
      <c r="G132" s="70" t="str">
        <f t="shared" si="1"/>
        <v>Digital</v>
      </c>
      <c r="H132" s="70" t="str">
        <f>IF('IO List'!E132="Input","Write","Read")</f>
        <v>Read</v>
      </c>
    </row>
    <row r="133" ht="14.25" customHeight="1">
      <c r="B133" s="33" t="str">
        <f>IF('IO List'!B133="IOs",CONCATENATE('IO List'!A133),"")</f>
        <v>SOP713_K4</v>
      </c>
      <c r="C133" s="33" t="str">
        <f>IF('IO List'!B133="IOs",CONCATENATE("AT %",'IO List'!C133),"")</f>
        <v>AT %QX1.1</v>
      </c>
      <c r="D133" s="33" t="str">
        <f>IF('IO List'!B133="IOs",CONCATENATE(": ",'IO List'!D133,";"),"")</f>
        <v>: BOOL;</v>
      </c>
      <c r="E133" s="33" t="str">
        <f>IF('IO List'!B133="IOs",CONCATENATE("// ",'IO List'!F133),"")</f>
        <v>// Front Clamp Down</v>
      </c>
      <c r="G133" s="70" t="str">
        <f t="shared" si="1"/>
        <v>Digital</v>
      </c>
      <c r="H133" s="70" t="str">
        <f>IF('IO List'!E133="Input","Write","Read")</f>
        <v>Read</v>
      </c>
    </row>
    <row r="134" ht="14.25" customHeight="1">
      <c r="B134" s="33" t="str">
        <f>IF('IO List'!B134="IOs",CONCATENATE('IO List'!A134),"")</f>
        <v>SOP713_K5</v>
      </c>
      <c r="C134" s="33" t="str">
        <f>IF('IO List'!B134="IOs",CONCATENATE("AT %",'IO List'!C134),"")</f>
        <v>AT %QX1.2</v>
      </c>
      <c r="D134" s="33" t="str">
        <f>IF('IO List'!B134="IOs",CONCATENATE(": ",'IO List'!D134,";"),"")</f>
        <v>: BOOL;</v>
      </c>
      <c r="E134" s="33" t="str">
        <f>IF('IO List'!B134="IOs",CONCATENATE("// ",'IO List'!F134),"")</f>
        <v>// Rear Clamp Up</v>
      </c>
      <c r="G134" s="70" t="str">
        <f t="shared" si="1"/>
        <v>Digital</v>
      </c>
      <c r="H134" s="70" t="str">
        <f>IF('IO List'!E134="Input","Write","Read")</f>
        <v>Read</v>
      </c>
    </row>
    <row r="135" ht="14.25" customHeight="1">
      <c r="B135" s="33" t="str">
        <f>IF('IO List'!B135="IOs",CONCATENATE('IO List'!A135),"")</f>
        <v>SOP713_K6</v>
      </c>
      <c r="C135" s="33" t="str">
        <f>IF('IO List'!B135="IOs",CONCATENATE("AT %",'IO List'!C135),"")</f>
        <v>AT %QX1.3</v>
      </c>
      <c r="D135" s="33" t="str">
        <f>IF('IO List'!B135="IOs",CONCATENATE(": ",'IO List'!D135,";"),"")</f>
        <v>: BOOL;</v>
      </c>
      <c r="E135" s="33" t="str">
        <f>IF('IO List'!B135="IOs",CONCATENATE("// ",'IO List'!F135),"")</f>
        <v>// Rear Clamp Down</v>
      </c>
      <c r="G135" s="70" t="str">
        <f t="shared" si="1"/>
        <v>Digital</v>
      </c>
      <c r="H135" s="70" t="str">
        <f>IF('IO List'!E135="Input","Write","Read")</f>
        <v>Read</v>
      </c>
    </row>
    <row r="136" ht="14.25" customHeight="1">
      <c r="B136" s="33" t="str">
        <f>IF('IO List'!B136="IOs",CONCATENATE('IO List'!A136),"")</f>
        <v>SOP714_KM1</v>
      </c>
      <c r="C136" s="33" t="str">
        <f>IF('IO List'!B136="IOs",CONCATENATE("AT %",'IO List'!C136),"")</f>
        <v>AT %QX1.4</v>
      </c>
      <c r="D136" s="33" t="str">
        <f>IF('IO List'!B136="IOs",CONCATENATE(": ",'IO List'!D136,";"),"")</f>
        <v>: BOOL;</v>
      </c>
      <c r="E136" s="33" t="str">
        <f>IF('IO List'!B136="IOs",CONCATENATE("// ",'IO List'!F136),"")</f>
        <v>// Conveyor Forward</v>
      </c>
      <c r="G136" s="70" t="str">
        <f t="shared" si="1"/>
        <v>Digital</v>
      </c>
      <c r="H136" s="70" t="str">
        <f>IF('IO List'!E136="Input","Write","Read")</f>
        <v>Read</v>
      </c>
    </row>
    <row r="137" ht="14.25" customHeight="1">
      <c r="B137" s="33" t="str">
        <f>IF('IO List'!B137="IOs",CONCATENATE('IO List'!A137),"")</f>
        <v>SOP714_KM2</v>
      </c>
      <c r="C137" s="33" t="str">
        <f>IF('IO List'!B137="IOs",CONCATENATE("AT %",'IO List'!C137),"")</f>
        <v>AT %QX1.5</v>
      </c>
      <c r="D137" s="33" t="str">
        <f>IF('IO List'!B137="IOs",CONCATENATE(": ",'IO List'!D137,";"),"")</f>
        <v>: BOOL;</v>
      </c>
      <c r="E137" s="33" t="str">
        <f>IF('IO List'!B137="IOs",CONCATENATE("// ",'IO List'!F137),"")</f>
        <v>// Conveyor Reverse</v>
      </c>
      <c r="G137" s="70" t="str">
        <f t="shared" si="1"/>
        <v>Digital</v>
      </c>
      <c r="H137" s="70" t="str">
        <f>IF('IO List'!E137="Input","Write","Read")</f>
        <v>Read</v>
      </c>
    </row>
    <row r="138" ht="14.25" customHeight="1">
      <c r="B138" s="33" t="str">
        <f>IF('IO List'!B138="IOs",CONCATENATE('IO List'!A138),"")</f>
        <v>SOP715_KM1</v>
      </c>
      <c r="C138" s="33" t="str">
        <f>IF('IO List'!B138="IOs",CONCATENATE("AT %",'IO List'!C138),"")</f>
        <v>AT %QX1.6</v>
      </c>
      <c r="D138" s="33" t="str">
        <f>IF('IO List'!B138="IOs",CONCATENATE(": ",'IO List'!D138,";"),"")</f>
        <v>: BOOL;</v>
      </c>
      <c r="E138" s="33" t="str">
        <f>IF('IO List'!B138="IOs",CONCATENATE("// ",'IO List'!F138),"")</f>
        <v>// Conveyor Forward</v>
      </c>
      <c r="G138" s="70" t="str">
        <f t="shared" si="1"/>
        <v>Digital</v>
      </c>
      <c r="H138" s="70" t="str">
        <f>IF('IO List'!E138="Input","Write","Read")</f>
        <v>Read</v>
      </c>
    </row>
    <row r="139" ht="14.25" customHeight="1">
      <c r="B139" s="33" t="str">
        <f>IF('IO List'!B139="IOs",CONCATENATE('IO List'!A139),"")</f>
        <v>SOP715_KM2</v>
      </c>
      <c r="C139" s="33" t="str">
        <f>IF('IO List'!B139="IOs",CONCATENATE("AT %",'IO List'!C139),"")</f>
        <v>AT %QX1.7</v>
      </c>
      <c r="D139" s="33" t="str">
        <f>IF('IO List'!B139="IOs",CONCATENATE(": ",'IO List'!D139,";"),"")</f>
        <v>: BOOL;</v>
      </c>
      <c r="E139" s="33" t="str">
        <f>IF('IO List'!B139="IOs",CONCATENATE("// ",'IO List'!F139),"")</f>
        <v>// Conveyor Reverse</v>
      </c>
      <c r="G139" s="70" t="str">
        <f t="shared" si="1"/>
        <v>Digital</v>
      </c>
      <c r="H139" s="70" t="str">
        <f>IF('IO List'!E139="Input","Write","Read")</f>
        <v>Read</v>
      </c>
    </row>
    <row r="140" ht="14.25" customHeight="1">
      <c r="B140" s="33" t="str">
        <f>IF('IO List'!B140="IOs",CONCATENATE('IO List'!A140),"")</f>
        <v/>
      </c>
      <c r="C140" s="33" t="str">
        <f>IF('IO List'!B140="IOs",CONCATENATE("AT %",'IO List'!C140),"")</f>
        <v/>
      </c>
      <c r="D140" s="33" t="str">
        <f>IF('IO List'!B140="IOs",CONCATENATE(": ",'IO List'!D140,";"),"")</f>
        <v/>
      </c>
      <c r="E140" s="33" t="str">
        <f>IF('IO List'!B140="IOs",CONCATENATE("// ",'IO List'!F140),"")</f>
        <v/>
      </c>
      <c r="G140" s="70" t="str">
        <f t="shared" si="1"/>
        <v>Group</v>
      </c>
      <c r="H140" s="70" t="str">
        <f>IF('IO List'!E140="Input","Write","Read")</f>
        <v>Read</v>
      </c>
    </row>
    <row r="141" ht="14.25" customHeight="1">
      <c r="B141" s="33" t="str">
        <f>IF('IO List'!B141="IOs",CONCATENATE('IO List'!A141),"")</f>
        <v>SOP716_KM1</v>
      </c>
      <c r="C141" s="33" t="str">
        <f>IF('IO List'!B141="IOs",CONCATENATE("AT %",'IO List'!C141),"")</f>
        <v>AT %QX2.0</v>
      </c>
      <c r="D141" s="33" t="str">
        <f>IF('IO List'!B141="IOs",CONCATENATE(": ",'IO List'!D141,";"),"")</f>
        <v>: BOOL;</v>
      </c>
      <c r="E141" s="33" t="str">
        <f>IF('IO List'!B141="IOs",CONCATENATE("// ",'IO List'!F141),"")</f>
        <v>// Conveyor Forward</v>
      </c>
      <c r="G141" s="70" t="str">
        <f t="shared" si="1"/>
        <v>Digital</v>
      </c>
      <c r="H141" s="70" t="str">
        <f>IF('IO List'!E141="Input","Write","Read")</f>
        <v>Read</v>
      </c>
    </row>
    <row r="142" ht="14.25" customHeight="1">
      <c r="B142" s="33" t="str">
        <f>IF('IO List'!B142="IOs",CONCATENATE('IO List'!A142),"")</f>
        <v>SOP716_KM2</v>
      </c>
      <c r="C142" s="33" t="str">
        <f>IF('IO List'!B142="IOs",CONCATENATE("AT %",'IO List'!C142),"")</f>
        <v>AT %QX2.1</v>
      </c>
      <c r="D142" s="33" t="str">
        <f>IF('IO List'!B142="IOs",CONCATENATE(": ",'IO List'!D142,";"),"")</f>
        <v>: BOOL;</v>
      </c>
      <c r="E142" s="33" t="str">
        <f>IF('IO List'!B142="IOs",CONCATENATE("// ",'IO List'!F142),"")</f>
        <v>// Conveyor Reverse</v>
      </c>
      <c r="G142" s="70" t="str">
        <f t="shared" si="1"/>
        <v>Digital</v>
      </c>
      <c r="H142" s="70" t="str">
        <f>IF('IO List'!E142="Input","Write","Read")</f>
        <v>Read</v>
      </c>
    </row>
    <row r="143" ht="14.25" customHeight="1">
      <c r="B143" s="33" t="str">
        <f>IF('IO List'!B143="IOs",CONCATENATE('IO List'!A143),"")</f>
        <v>SOP717_KM1</v>
      </c>
      <c r="C143" s="33" t="str">
        <f>IF('IO List'!B143="IOs",CONCATENATE("AT %",'IO List'!C143),"")</f>
        <v>AT %QX2.2</v>
      </c>
      <c r="D143" s="33" t="str">
        <f>IF('IO List'!B143="IOs",CONCATENATE(": ",'IO List'!D143,";"),"")</f>
        <v>: BOOL;</v>
      </c>
      <c r="E143" s="33" t="str">
        <f>IF('IO List'!B143="IOs",CONCATENATE("// ",'IO List'!F143),"")</f>
        <v>// Conveyor Forward</v>
      </c>
      <c r="G143" s="70" t="str">
        <f t="shared" si="1"/>
        <v>Digital</v>
      </c>
      <c r="H143" s="70" t="str">
        <f>IF('IO List'!E143="Input","Write","Read")</f>
        <v>Read</v>
      </c>
    </row>
    <row r="144" ht="14.25" customHeight="1">
      <c r="B144" s="33" t="str">
        <f>IF('IO List'!B144="IOs",CONCATENATE('IO List'!A144),"")</f>
        <v>SOP717_KM2</v>
      </c>
      <c r="C144" s="33" t="str">
        <f>IF('IO List'!B144="IOs",CONCATENATE("AT %",'IO List'!C144),"")</f>
        <v>AT %QX2.3</v>
      </c>
      <c r="D144" s="33" t="str">
        <f>IF('IO List'!B144="IOs",CONCATENATE(": ",'IO List'!D144,";"),"")</f>
        <v>: BOOL;</v>
      </c>
      <c r="E144" s="33" t="str">
        <f>IF('IO List'!B144="IOs",CONCATENATE("// ",'IO List'!F144),"")</f>
        <v>// Conveyor Reverse</v>
      </c>
      <c r="G144" s="70" t="str">
        <f t="shared" si="1"/>
        <v>Digital</v>
      </c>
      <c r="H144" s="70" t="str">
        <f>IF('IO List'!E144="Input","Write","Read")</f>
        <v>Read</v>
      </c>
    </row>
    <row r="145" ht="14.25" customHeight="1">
      <c r="B145" s="33" t="str">
        <f>IF('IO List'!B145="IOs",CONCATENATE('IO List'!A145),"")</f>
        <v>SOP720_KM1</v>
      </c>
      <c r="C145" s="33" t="str">
        <f>IF('IO List'!B145="IOs",CONCATENATE("AT %",'IO List'!C145),"")</f>
        <v>AT %QX2.4</v>
      </c>
      <c r="D145" s="33" t="str">
        <f>IF('IO List'!B145="IOs",CONCATENATE(": ",'IO List'!D145,";"),"")</f>
        <v>: BOOL;</v>
      </c>
      <c r="E145" s="33" t="str">
        <f>IF('IO List'!B145="IOs",CONCATENATE("// ",'IO List'!F145),"")</f>
        <v>// Rotation clockwise</v>
      </c>
      <c r="G145" s="70" t="str">
        <f t="shared" si="1"/>
        <v>Digital</v>
      </c>
      <c r="H145" s="70" t="str">
        <f>IF('IO List'!E145="Input","Write","Read")</f>
        <v>Read</v>
      </c>
    </row>
    <row r="146" ht="14.25" customHeight="1">
      <c r="B146" s="33" t="str">
        <f>IF('IO List'!B146="IOs",CONCATENATE('IO List'!A146),"")</f>
        <v>SOP720_KM2</v>
      </c>
      <c r="C146" s="33" t="str">
        <f>IF('IO List'!B146="IOs",CONCATENATE("AT %",'IO List'!C146),"")</f>
        <v>AT %QX2.5</v>
      </c>
      <c r="D146" s="33" t="str">
        <f>IF('IO List'!B146="IOs",CONCATENATE(": ",'IO List'!D146,";"),"")</f>
        <v>: BOOL;</v>
      </c>
      <c r="E146" s="33" t="str">
        <f>IF('IO List'!B146="IOs",CONCATENATE("// ",'IO List'!F146),"")</f>
        <v>// Rotation anti-clockwise</v>
      </c>
      <c r="G146" s="70" t="str">
        <f t="shared" si="1"/>
        <v>Digital</v>
      </c>
      <c r="H146" s="70" t="str">
        <f>IF('IO List'!E146="Input","Write","Read")</f>
        <v>Read</v>
      </c>
    </row>
    <row r="147" ht="14.25" customHeight="1">
      <c r="B147" s="33" t="str">
        <f>IF('IO List'!B147="IOs",CONCATENATE('IO List'!A147),"")</f>
        <v>SOP720_KM3</v>
      </c>
      <c r="C147" s="33" t="str">
        <f>IF('IO List'!B147="IOs",CONCATENATE("AT %",'IO List'!C147),"")</f>
        <v>AT %QX2.6</v>
      </c>
      <c r="D147" s="33" t="str">
        <f>IF('IO List'!B147="IOs",CONCATENATE(": ",'IO List'!D147,";"),"")</f>
        <v>: BOOL;</v>
      </c>
      <c r="E147" s="33" t="str">
        <f>IF('IO List'!B147="IOs",CONCATENATE("// ",'IO List'!F147),"")</f>
        <v>// Conveyor Forward</v>
      </c>
      <c r="G147" s="70" t="str">
        <f t="shared" si="1"/>
        <v>Digital</v>
      </c>
      <c r="H147" s="70" t="str">
        <f>IF('IO List'!E147="Input","Write","Read")</f>
        <v>Read</v>
      </c>
    </row>
    <row r="148" ht="14.25" customHeight="1">
      <c r="B148" s="33" t="str">
        <f>IF('IO List'!B148="IOs",CONCATENATE('IO List'!A148),"")</f>
        <v>SOP720_KM4</v>
      </c>
      <c r="C148" s="33" t="str">
        <f>IF('IO List'!B148="IOs",CONCATENATE("AT %",'IO List'!C148),"")</f>
        <v>AT %QX2.7</v>
      </c>
      <c r="D148" s="33" t="str">
        <f>IF('IO List'!B148="IOs",CONCATENATE(": ",'IO List'!D148,";"),"")</f>
        <v>: BOOL;</v>
      </c>
      <c r="E148" s="33" t="str">
        <f>IF('IO List'!B148="IOs",CONCATENATE("// ",'IO List'!F148),"")</f>
        <v>// Conveyor Reverse</v>
      </c>
      <c r="G148" s="70" t="str">
        <f t="shared" si="1"/>
        <v>Digital</v>
      </c>
      <c r="H148" s="70" t="str">
        <f>IF('IO List'!E148="Input","Write","Read")</f>
        <v>Read</v>
      </c>
    </row>
    <row r="149" ht="14.25" customHeight="1">
      <c r="B149" s="33" t="str">
        <f>IF('IO List'!B149="IOs",CONCATENATE('IO List'!A149),"")</f>
        <v/>
      </c>
      <c r="C149" s="33" t="str">
        <f>IF('IO List'!B149="IOs",CONCATENATE("AT %",'IO List'!C149),"")</f>
        <v/>
      </c>
      <c r="D149" s="33" t="str">
        <f>IF('IO List'!B149="IOs",CONCATENATE(": ",'IO List'!D149,";"),"")</f>
        <v/>
      </c>
      <c r="E149" s="33" t="str">
        <f>IF('IO List'!B149="IOs",CONCATENATE("// ",'IO List'!F149),"")</f>
        <v/>
      </c>
      <c r="G149" s="70" t="str">
        <f t="shared" si="1"/>
        <v>Group</v>
      </c>
      <c r="H149" s="70" t="str">
        <f>IF('IO List'!E149="Input","Write","Read")</f>
        <v>Read</v>
      </c>
    </row>
    <row r="150" ht="14.25" customHeight="1">
      <c r="B150" s="33" t="str">
        <f>IF('IO List'!B150="IOs",CONCATENATE('IO List'!A150),"")</f>
        <v/>
      </c>
      <c r="C150" s="33" t="str">
        <f>IF('IO List'!B150="IOs",CONCATENATE("AT %",'IO List'!C150),"")</f>
        <v/>
      </c>
      <c r="D150" s="33" t="str">
        <f>IF('IO List'!B150="IOs",CONCATENATE(": ",'IO List'!D150,";"),"")</f>
        <v/>
      </c>
      <c r="E150" s="33" t="str">
        <f>IF('IO List'!B150="IOs",CONCATENATE("// ",'IO List'!F150),"")</f>
        <v/>
      </c>
      <c r="G150" s="70" t="str">
        <f t="shared" si="1"/>
        <v>Group</v>
      </c>
      <c r="H150" s="70" t="str">
        <f>IF('IO List'!E150="Input","Write","Read")</f>
        <v>Read</v>
      </c>
    </row>
    <row r="151" ht="14.25" customHeight="1">
      <c r="B151" s="33" t="str">
        <f>IF('IO List'!B151="IOs",CONCATENATE('IO List'!A151),"")</f>
        <v/>
      </c>
      <c r="C151" s="33" t="str">
        <f>IF('IO List'!B151="IOs",CONCATENATE("AT %",'IO List'!C151),"")</f>
        <v/>
      </c>
      <c r="D151" s="33" t="str">
        <f>IF('IO List'!B151="IOs",CONCATENATE(": ",'IO List'!D151,";"),"")</f>
        <v/>
      </c>
      <c r="E151" s="33" t="str">
        <f>IF('IO List'!B151="IOs",CONCATENATE("// ",'IO List'!F151),"")</f>
        <v/>
      </c>
      <c r="G151" s="70" t="str">
        <f t="shared" si="1"/>
        <v>Group</v>
      </c>
      <c r="H151" s="70" t="str">
        <f>IF('IO List'!E151="Input","Write","Read")</f>
        <v>Read</v>
      </c>
    </row>
    <row r="152" ht="14.25" customHeight="1">
      <c r="B152" s="33" t="str">
        <f>IF('IO List'!B152="IOs",CONCATENATE('IO List'!A152),"")</f>
        <v/>
      </c>
      <c r="C152" s="33" t="str">
        <f>IF('IO List'!B152="IOs",CONCATENATE("AT %",'IO List'!C152),"")</f>
        <v/>
      </c>
      <c r="D152" s="33" t="str">
        <f>IF('IO List'!B152="IOs",CONCATENATE(": ",'IO List'!D152,";"),"")</f>
        <v/>
      </c>
      <c r="E152" s="33" t="str">
        <f>IF('IO List'!B152="IOs",CONCATENATE("// ",'IO List'!F152),"")</f>
        <v/>
      </c>
      <c r="G152" s="70" t="str">
        <f t="shared" si="1"/>
        <v>Group</v>
      </c>
      <c r="H152" s="70" t="str">
        <f>IF('IO List'!E152="Input","Write","Read")</f>
        <v>Read</v>
      </c>
    </row>
    <row r="153" ht="14.25" customHeight="1">
      <c r="B153" s="33" t="str">
        <f>IF('IO List'!B153="IOs",CONCATENATE('IO List'!A153),"")</f>
        <v/>
      </c>
      <c r="C153" s="33" t="str">
        <f>IF('IO List'!B153="IOs",CONCATENATE("AT %",'IO List'!C153),"")</f>
        <v/>
      </c>
      <c r="D153" s="33" t="str">
        <f>IF('IO List'!B153="IOs",CONCATENATE(": ",'IO List'!D153,";"),"")</f>
        <v/>
      </c>
      <c r="E153" s="33" t="str">
        <f>IF('IO List'!B153="IOs",CONCATENATE("// ",'IO List'!F153),"")</f>
        <v/>
      </c>
      <c r="G153" s="70" t="str">
        <f t="shared" si="1"/>
        <v>Group</v>
      </c>
      <c r="H153" s="70" t="str">
        <f>IF('IO List'!E153="Input","Write","Read")</f>
        <v>Read</v>
      </c>
    </row>
    <row r="154" ht="14.25" customHeight="1">
      <c r="B154" s="33" t="str">
        <f>IF('IO List'!B154="IOs",CONCATENATE('IO List'!A154),"")</f>
        <v/>
      </c>
      <c r="C154" s="33" t="str">
        <f>IF('IO List'!B154="IOs",CONCATENATE("AT %",'IO List'!C154),"")</f>
        <v/>
      </c>
      <c r="D154" s="33" t="str">
        <f>IF('IO List'!B154="IOs",CONCATENATE(": ",'IO List'!D154,";"),"")</f>
        <v/>
      </c>
      <c r="E154" s="33" t="str">
        <f>IF('IO List'!B154="IOs",CONCATENATE("// ",'IO List'!F154),"")</f>
        <v/>
      </c>
      <c r="G154" s="70" t="str">
        <f t="shared" si="1"/>
        <v>Group</v>
      </c>
      <c r="H154" s="70" t="str">
        <f>IF('IO List'!E154="Input","Write","Read")</f>
        <v>Read</v>
      </c>
    </row>
    <row r="155" ht="14.25" customHeight="1">
      <c r="B155" s="33" t="str">
        <f>IF('IO List'!B155="IOs",CONCATENATE('IO List'!A155),"")</f>
        <v/>
      </c>
      <c r="C155" s="33" t="str">
        <f>IF('IO List'!B155="IOs",CONCATENATE("AT %",'IO List'!C155),"")</f>
        <v/>
      </c>
      <c r="D155" s="33" t="str">
        <f>IF('IO List'!B155="IOs",CONCATENATE(": ",'IO List'!D155,";"),"")</f>
        <v/>
      </c>
      <c r="E155" s="33" t="str">
        <f>IF('IO List'!B155="IOs",CONCATENATE("// ",'IO List'!F155),"")</f>
        <v/>
      </c>
      <c r="G155" s="70" t="str">
        <f t="shared" si="1"/>
        <v>Group</v>
      </c>
      <c r="H155" s="70" t="str">
        <f>IF('IO List'!E155="Input","Write","Read")</f>
        <v>Read</v>
      </c>
    </row>
    <row r="156" ht="14.25" customHeight="1">
      <c r="B156" s="33" t="str">
        <f>IF('IO List'!B156="IOs",CONCATENATE('IO List'!A156),"")</f>
        <v/>
      </c>
      <c r="C156" s="33" t="str">
        <f>IF('IO List'!B156="IOs",CONCATENATE("AT %",'IO List'!C156),"")</f>
        <v/>
      </c>
      <c r="D156" s="33" t="str">
        <f>IF('IO List'!B156="IOs",CONCATENATE(": ",'IO List'!D156,";"),"")</f>
        <v/>
      </c>
      <c r="E156" s="33" t="str">
        <f>IF('IO List'!B156="IOs",CONCATENATE("// ",'IO List'!F156),"")</f>
        <v/>
      </c>
      <c r="G156" s="70" t="str">
        <f t="shared" si="1"/>
        <v>Group</v>
      </c>
      <c r="H156" s="70" t="str">
        <f>IF('IO List'!E156="Input","Write","Read")</f>
        <v>Read</v>
      </c>
    </row>
    <row r="157" ht="14.25" customHeight="1">
      <c r="B157" s="33" t="str">
        <f>IF('IO List'!B157="IOs",CONCATENATE('IO List'!A157),"")</f>
        <v/>
      </c>
      <c r="C157" s="33" t="str">
        <f>IF('IO List'!B157="IOs",CONCATENATE("AT %",'IO List'!C157),"")</f>
        <v/>
      </c>
      <c r="D157" s="33" t="str">
        <f>IF('IO List'!B157="IOs",CONCATENATE(": ",'IO List'!D157,";"),"")</f>
        <v/>
      </c>
      <c r="E157" s="33" t="str">
        <f>IF('IO List'!B157="IOs",CONCATENATE("// ",'IO List'!F157),"")</f>
        <v/>
      </c>
      <c r="G157" s="70" t="str">
        <f t="shared" si="1"/>
        <v>Group</v>
      </c>
      <c r="H157" s="70" t="str">
        <f>IF('IO List'!E157="Input","Write","Read")</f>
        <v>Read</v>
      </c>
    </row>
    <row r="158" ht="14.25" customHeight="1">
      <c r="B158" s="33" t="str">
        <f>IF('IO List'!B158="IOs",CONCATENATE('IO List'!A158),"")</f>
        <v>SOP720_Pal_Full</v>
      </c>
      <c r="C158" s="33" t="str">
        <f>IF('IO List'!B158="IOs",CONCATENATE("AT %",'IO List'!C158),"")</f>
        <v>AT %QX4.0</v>
      </c>
      <c r="D158" s="33" t="str">
        <f>IF('IO List'!B158="IOs",CONCATENATE(": ",'IO List'!D158,";"),"")</f>
        <v>: BOOL;</v>
      </c>
      <c r="E158" s="33" t="str">
        <f>IF('IO List'!B158="IOs",CONCATENATE("// ",'IO List'!F158),"")</f>
        <v>// Dispensor Full of Pallets</v>
      </c>
      <c r="G158" s="70" t="str">
        <f t="shared" si="1"/>
        <v>Digital</v>
      </c>
      <c r="H158" s="70" t="str">
        <f>IF('IO List'!E158="Input","Write","Read")</f>
        <v>Read</v>
      </c>
    </row>
    <row r="159" ht="14.25" customHeight="1">
      <c r="B159" s="33" t="str">
        <f>IF('IO List'!B159="IOs",CONCATENATE('IO List'!A159),"")</f>
        <v>SOP720_Pal_Refill</v>
      </c>
      <c r="C159" s="33" t="str">
        <f>IF('IO List'!B159="IOs",CONCATENATE("AT %",'IO List'!C159),"")</f>
        <v>AT %QX4.1</v>
      </c>
      <c r="D159" s="33" t="str">
        <f>IF('IO List'!B159="IOs",CONCATENATE(": ",'IO List'!D159,";"),"")</f>
        <v>: BOOL;</v>
      </c>
      <c r="E159" s="33" t="str">
        <f>IF('IO List'!B159="IOs",CONCATENATE("// ",'IO List'!F159),"")</f>
        <v>// Refill the dispensor</v>
      </c>
      <c r="G159" s="70" t="str">
        <f t="shared" si="1"/>
        <v>Digital</v>
      </c>
      <c r="H159" s="70" t="str">
        <f>IF('IO List'!E159="Input","Write","Read")</f>
        <v>Read</v>
      </c>
    </row>
    <row r="160" ht="14.25" customHeight="1">
      <c r="B160" s="33" t="str">
        <f>IF('IO List'!B160="IOs",CONCATENATE('IO List'!A160),"")</f>
        <v>SOP720_Pal_Dispense</v>
      </c>
      <c r="C160" s="33" t="str">
        <f>IF('IO List'!B160="IOs",CONCATENATE("AT %",'IO List'!C160),"")</f>
        <v>AT %QX4.2</v>
      </c>
      <c r="D160" s="33" t="str">
        <f>IF('IO List'!B160="IOs",CONCATENATE(": ",'IO List'!D160,";"),"")</f>
        <v>: BOOL;</v>
      </c>
      <c r="E160" s="33" t="str">
        <f>IF('IO List'!B160="IOs",CONCATENATE("// ",'IO List'!F160),"")</f>
        <v>// Dispense a pallet on the conveyor</v>
      </c>
      <c r="G160" s="70" t="str">
        <f t="shared" si="1"/>
        <v>Digital</v>
      </c>
      <c r="H160" s="70" t="str">
        <f>IF('IO List'!E160="Input","Write","Read")</f>
        <v>Read</v>
      </c>
    </row>
    <row r="161" ht="14.25" customHeight="1">
      <c r="B161" s="33" t="str">
        <f>IF('IO List'!B161="IOs",CONCATENATE('IO List'!A161),"")</f>
        <v>SOP721_KM1</v>
      </c>
      <c r="C161" s="33" t="str">
        <f>IF('IO List'!B161="IOs",CONCATENATE("AT %",'IO List'!C161),"")</f>
        <v>AT %QX4.3</v>
      </c>
      <c r="D161" s="33" t="str">
        <f>IF('IO List'!B161="IOs",CONCATENATE(": ",'IO List'!D161,";"),"")</f>
        <v>: BOOL;</v>
      </c>
      <c r="E161" s="33" t="str">
        <f>IF('IO List'!B161="IOs",CONCATENATE("// ",'IO List'!F161),"")</f>
        <v>// Conveyor Forward</v>
      </c>
      <c r="G161" s="70" t="str">
        <f t="shared" si="1"/>
        <v>Digital</v>
      </c>
      <c r="H161" s="70" t="str">
        <f>IF('IO List'!E161="Input","Write","Read")</f>
        <v>Read</v>
      </c>
    </row>
    <row r="162" ht="14.25" customHeight="1">
      <c r="B162" s="33" t="str">
        <f>IF('IO List'!B162="IOs",CONCATENATE('IO List'!A162),"")</f>
        <v>SOP721_KM2</v>
      </c>
      <c r="C162" s="33" t="str">
        <f>IF('IO List'!B162="IOs",CONCATENATE("AT %",'IO List'!C162),"")</f>
        <v>AT %QX4.4</v>
      </c>
      <c r="D162" s="33" t="str">
        <f>IF('IO List'!B162="IOs",CONCATENATE(": ",'IO List'!D162,";"),"")</f>
        <v>: BOOL;</v>
      </c>
      <c r="E162" s="33" t="str">
        <f>IF('IO List'!B162="IOs",CONCATENATE("// ",'IO List'!F162),"")</f>
        <v>// Conveyor Reverse</v>
      </c>
      <c r="G162" s="70" t="str">
        <f t="shared" si="1"/>
        <v>Digital</v>
      </c>
      <c r="H162" s="70" t="str">
        <f>IF('IO List'!E162="Input","Write","Read")</f>
        <v>Read</v>
      </c>
    </row>
    <row r="163" ht="14.25" customHeight="1">
      <c r="B163" s="33" t="str">
        <f>IF('IO List'!B163="IOs",CONCATENATE('IO List'!A163),"")</f>
        <v>SOP730_KM1</v>
      </c>
      <c r="C163" s="33" t="str">
        <f>IF('IO List'!B163="IOs",CONCATENATE("AT %",'IO List'!C163),"")</f>
        <v>AT %QX4.5</v>
      </c>
      <c r="D163" s="33" t="str">
        <f>IF('IO List'!B163="IOs",CONCATENATE(": ",'IO List'!D163,";"),"")</f>
        <v>: BOOL;</v>
      </c>
      <c r="E163" s="33" t="str">
        <f>IF('IO List'!B163="IOs",CONCATENATE("// ",'IO List'!F163),"")</f>
        <v>// Conveyor Forward</v>
      </c>
      <c r="G163" s="70" t="str">
        <f t="shared" si="1"/>
        <v>Digital</v>
      </c>
      <c r="H163" s="70" t="str">
        <f>IF('IO List'!E163="Input","Write","Read")</f>
        <v>Read</v>
      </c>
    </row>
    <row r="164" ht="14.25" customHeight="1">
      <c r="B164" s="33" t="str">
        <f>IF('IO List'!B164="IOs",CONCATENATE('IO List'!A164),"")</f>
        <v>SOP730_KM2</v>
      </c>
      <c r="C164" s="33" t="str">
        <f>IF('IO List'!B164="IOs",CONCATENATE("AT %",'IO List'!C164),"")</f>
        <v>AT %QX4.6</v>
      </c>
      <c r="D164" s="33" t="str">
        <f>IF('IO List'!B164="IOs",CONCATENATE(": ",'IO List'!D164,";"),"")</f>
        <v>: BOOL;</v>
      </c>
      <c r="E164" s="33" t="str">
        <f>IF('IO List'!B164="IOs",CONCATENATE("// ",'IO List'!F164),"")</f>
        <v>// Conveyor Reverse</v>
      </c>
      <c r="G164" s="70" t="str">
        <f t="shared" si="1"/>
        <v>Digital</v>
      </c>
      <c r="H164" s="70" t="str">
        <f>IF('IO List'!E164="Input","Write","Read")</f>
        <v>Read</v>
      </c>
    </row>
    <row r="165" ht="14.25" customHeight="1">
      <c r="B165" s="33" t="str">
        <f>IF('IO List'!B165="IOs",CONCATENATE('IO List'!A165),"")</f>
        <v>SOP730_K2</v>
      </c>
      <c r="C165" s="33" t="str">
        <f>IF('IO List'!B165="IOs",CONCATENATE("AT %",'IO List'!C165),"")</f>
        <v>AT %QX4.7</v>
      </c>
      <c r="D165" s="33" t="str">
        <f>IF('IO List'!B165="IOs",CONCATENATE(": ",'IO List'!D165,";"),"")</f>
        <v>: BOOL;</v>
      </c>
      <c r="E165" s="33" t="str">
        <f>IF('IO List'!B165="IOs",CONCATENATE("// ",'IO List'!F165),"")</f>
        <v>// Front Clamp Up</v>
      </c>
      <c r="G165" s="70" t="str">
        <f t="shared" si="1"/>
        <v>Digital</v>
      </c>
      <c r="H165" s="70" t="str">
        <f>IF('IO List'!E165="Input","Write","Read")</f>
        <v>Read</v>
      </c>
    </row>
    <row r="166" ht="14.25" customHeight="1">
      <c r="B166" s="33" t="str">
        <f>IF('IO List'!B166="IOs",CONCATENATE('IO List'!A166),"")</f>
        <v>SOP730_K3</v>
      </c>
      <c r="C166" s="33" t="str">
        <f>IF('IO List'!B166="IOs",CONCATENATE("AT %",'IO List'!C166),"")</f>
        <v>AT %QX5.0</v>
      </c>
      <c r="D166" s="33" t="str">
        <f>IF('IO List'!B166="IOs",CONCATENATE(": ",'IO List'!D166,";"),"")</f>
        <v>: BOOL;</v>
      </c>
      <c r="E166" s="33" t="str">
        <f>IF('IO List'!B166="IOs",CONCATENATE("// ",'IO List'!F166),"")</f>
        <v>// Front Clamp Down</v>
      </c>
      <c r="G166" s="70" t="str">
        <f t="shared" si="1"/>
        <v>Digital</v>
      </c>
      <c r="H166" s="70" t="str">
        <f>IF('IO List'!E166="Input","Write","Read")</f>
        <v>Read</v>
      </c>
    </row>
    <row r="167" ht="14.25" customHeight="1">
      <c r="B167" s="33" t="str">
        <f>IF('IO List'!B167="IOs",CONCATENATE('IO List'!A167),"")</f>
        <v>SOP730_K4</v>
      </c>
      <c r="C167" s="33" t="str">
        <f>IF('IO List'!B167="IOs",CONCATENATE("AT %",'IO List'!C167),"")</f>
        <v>AT %QX5.1</v>
      </c>
      <c r="D167" s="33" t="str">
        <f>IF('IO List'!B167="IOs",CONCATENATE(": ",'IO List'!D167,";"),"")</f>
        <v>: BOOL;</v>
      </c>
      <c r="E167" s="33" t="str">
        <f>IF('IO List'!B167="IOs",CONCATENATE("// ",'IO List'!F167),"")</f>
        <v>// Rear Clamp Up</v>
      </c>
      <c r="G167" s="70" t="str">
        <f t="shared" si="1"/>
        <v>Digital</v>
      </c>
      <c r="H167" s="70" t="str">
        <f>IF('IO List'!E167="Input","Write","Read")</f>
        <v>Read</v>
      </c>
    </row>
    <row r="168" ht="14.25" customHeight="1">
      <c r="B168" s="33" t="str">
        <f>IF('IO List'!B168="IOs",CONCATENATE('IO List'!A168),"")</f>
        <v>SOP730_K5</v>
      </c>
      <c r="C168" s="33" t="str">
        <f>IF('IO List'!B168="IOs",CONCATENATE("AT %",'IO List'!C168),"")</f>
        <v>AT %QX5.2</v>
      </c>
      <c r="D168" s="33" t="str">
        <f>IF('IO List'!B168="IOs",CONCATENATE(": ",'IO List'!D168,";"),"")</f>
        <v>: BOOL;</v>
      </c>
      <c r="E168" s="33" t="str">
        <f>IF('IO List'!B168="IOs",CONCATENATE("// ",'IO List'!F168),"")</f>
        <v>// Rear Clamp Down</v>
      </c>
      <c r="G168" s="70" t="str">
        <f t="shared" si="1"/>
        <v>Digital</v>
      </c>
      <c r="H168" s="70" t="str">
        <f>IF('IO List'!E168="Input","Write","Read")</f>
        <v>Read</v>
      </c>
    </row>
    <row r="169" ht="14.25" customHeight="1">
      <c r="B169" s="33" t="str">
        <f>IF('IO List'!B169="IOs",CONCATENATE('IO List'!A169),"")</f>
        <v>SOP722_KM1</v>
      </c>
      <c r="C169" s="33" t="str">
        <f>IF('IO List'!B169="IOs",CONCATENATE("AT %",'IO List'!C169),"")</f>
        <v>AT %QX5.3</v>
      </c>
      <c r="D169" s="33" t="str">
        <f>IF('IO List'!B169="IOs",CONCATENATE(": ",'IO List'!D169,";"),"")</f>
        <v>: BOOL;</v>
      </c>
      <c r="E169" s="33" t="str">
        <f>IF('IO List'!B169="IOs",CONCATENATE("// ",'IO List'!F169),"")</f>
        <v>// Conveyor Forward</v>
      </c>
      <c r="G169" s="70" t="str">
        <f t="shared" si="1"/>
        <v>Digital</v>
      </c>
      <c r="H169" s="70" t="str">
        <f>IF('IO List'!E169="Input","Write","Read")</f>
        <v>Read</v>
      </c>
    </row>
    <row r="170" ht="14.25" customHeight="1">
      <c r="B170" s="33" t="str">
        <f>IF('IO List'!B170="IOs",CONCATENATE('IO List'!A170),"")</f>
        <v>SOP722_KM2</v>
      </c>
      <c r="C170" s="33" t="str">
        <f>IF('IO List'!B170="IOs",CONCATENATE("AT %",'IO List'!C170),"")</f>
        <v>AT %QX5.4</v>
      </c>
      <c r="D170" s="33" t="str">
        <f>IF('IO List'!B170="IOs",CONCATENATE(": ",'IO List'!D170,";"),"")</f>
        <v>: BOOL;</v>
      </c>
      <c r="E170" s="33" t="str">
        <f>IF('IO List'!B170="IOs",CONCATENATE("// ",'IO List'!F170),"")</f>
        <v>// Conveyor Reverse</v>
      </c>
      <c r="G170" s="70" t="str">
        <f t="shared" si="1"/>
        <v>Digital</v>
      </c>
      <c r="H170" s="70" t="str">
        <f>IF('IO List'!E170="Input","Write","Read")</f>
        <v>Read</v>
      </c>
    </row>
    <row r="171" ht="14.25" customHeight="1">
      <c r="B171" s="33" t="str">
        <f>IF('IO List'!B171="IOs",CONCATENATE('IO List'!A171),"")</f>
        <v>SOP723_KM1</v>
      </c>
      <c r="C171" s="33" t="str">
        <f>IF('IO List'!B171="IOs",CONCATENATE("AT %",'IO List'!C171),"")</f>
        <v>AT %QX5.5</v>
      </c>
      <c r="D171" s="33" t="str">
        <f>IF('IO List'!B171="IOs",CONCATENATE(": ",'IO List'!D171,";"),"")</f>
        <v>: BOOL;</v>
      </c>
      <c r="E171" s="33" t="str">
        <f>IF('IO List'!B171="IOs",CONCATENATE("// ",'IO List'!F171),"")</f>
        <v>// Conveyor Forward</v>
      </c>
      <c r="G171" s="70" t="str">
        <f t="shared" si="1"/>
        <v>Digital</v>
      </c>
      <c r="H171" s="70" t="str">
        <f>IF('IO List'!E171="Input","Write","Read")</f>
        <v>Read</v>
      </c>
    </row>
    <row r="172" ht="14.25" customHeight="1">
      <c r="B172" s="33" t="str">
        <f>IF('IO List'!B172="IOs",CONCATENATE('IO List'!A172),"")</f>
        <v>SOP723_KM2</v>
      </c>
      <c r="C172" s="33" t="str">
        <f>IF('IO List'!B172="IOs",CONCATENATE("AT %",'IO List'!C172),"")</f>
        <v>AT %QX5.6</v>
      </c>
      <c r="D172" s="33" t="str">
        <f>IF('IO List'!B172="IOs",CONCATENATE(": ",'IO List'!D172,";"),"")</f>
        <v>: BOOL;</v>
      </c>
      <c r="E172" s="33" t="str">
        <f>IF('IO List'!B172="IOs",CONCATENATE("// ",'IO List'!F172),"")</f>
        <v>// Conveyor Reverse</v>
      </c>
      <c r="G172" s="70" t="str">
        <f t="shared" si="1"/>
        <v>Digital</v>
      </c>
      <c r="H172" s="70" t="str">
        <f>IF('IO List'!E172="Input","Write","Read")</f>
        <v>Read</v>
      </c>
    </row>
    <row r="173" ht="14.25" customHeight="1">
      <c r="B173" s="33" t="str">
        <f>IF('IO List'!B173="IOs",CONCATENATE('IO List'!A173),"")</f>
        <v>SOP723_K1</v>
      </c>
      <c r="C173" s="33" t="str">
        <f>IF('IO List'!B173="IOs",CONCATENATE("AT %",'IO List'!C173),"")</f>
        <v>AT %QX5.7</v>
      </c>
      <c r="D173" s="33" t="str">
        <f>IF('IO List'!B173="IOs",CONCATENATE(": ",'IO List'!D173,";"),"")</f>
        <v>: BOOL;</v>
      </c>
      <c r="E173" s="33" t="str">
        <f>IF('IO List'!B173="IOs",CONCATENATE("// ",'IO List'!F173),"")</f>
        <v>// Light Curtain Mute Out</v>
      </c>
      <c r="G173" s="70" t="str">
        <f t="shared" si="1"/>
        <v>Digital</v>
      </c>
      <c r="H173" s="70" t="str">
        <f>IF('IO List'!E173="Input","Write","Read")</f>
        <v>Read</v>
      </c>
    </row>
    <row r="174" ht="14.25" customHeight="1">
      <c r="B174" s="33" t="str">
        <f>IF('IO List'!B174="IOs",CONCATENATE('IO List'!A174),"")</f>
        <v/>
      </c>
      <c r="C174" s="33" t="str">
        <f>IF('IO List'!B174="IOs",CONCATENATE("AT %",'IO List'!C174),"")</f>
        <v/>
      </c>
      <c r="D174" s="33" t="str">
        <f>IF('IO List'!B174="IOs",CONCATENATE(": ",'IO List'!D174,";"),"")</f>
        <v/>
      </c>
      <c r="E174" s="33" t="str">
        <f>IF('IO List'!B174="IOs",CONCATENATE("// ",'IO List'!F174),"")</f>
        <v/>
      </c>
      <c r="G174" s="70" t="str">
        <f t="shared" si="1"/>
        <v>Group</v>
      </c>
      <c r="H174" s="70" t="str">
        <f>IF('IO List'!E174="Input","Write","Read")</f>
        <v>Read</v>
      </c>
    </row>
    <row r="175" ht="14.25" customHeight="1">
      <c r="B175" s="33" t="str">
        <f>IF('IO List'!B175="IOs",CONCATENATE('IO List'!A175),"")</f>
        <v>SOP723_K2</v>
      </c>
      <c r="C175" s="33" t="str">
        <f>IF('IO List'!B175="IOs",CONCATENATE("AT %",'IO List'!C175),"")</f>
        <v>AT %QX6.0</v>
      </c>
      <c r="D175" s="33" t="str">
        <f>IF('IO List'!B175="IOs",CONCATENATE(": ",'IO List'!D175,";"),"")</f>
        <v>: BOOL;</v>
      </c>
      <c r="E175" s="33" t="str">
        <f>IF('IO List'!B175="IOs",CONCATENATE("// ",'IO List'!F175),"")</f>
        <v>// Light Curtain Mute IN</v>
      </c>
      <c r="G175" s="70" t="str">
        <f t="shared" si="1"/>
        <v>Digital</v>
      </c>
      <c r="H175" s="70" t="str">
        <f>IF('IO List'!E175="Input","Write","Read")</f>
        <v>Read</v>
      </c>
    </row>
    <row r="176" ht="14.25" customHeight="1">
      <c r="B176" s="33" t="str">
        <f>IF('IO List'!B176="IOs",CONCATENATE('IO List'!A176),"")</f>
        <v>SOP740_PickProduct</v>
      </c>
      <c r="C176" s="33" t="str">
        <f>IF('IO List'!B176="IOs",CONCATENATE("AT %",'IO List'!C176),"")</f>
        <v>AT %QX6.1</v>
      </c>
      <c r="D176" s="33" t="str">
        <f>IF('IO List'!B176="IOs",CONCATENATE(": ",'IO List'!D176,";"),"")</f>
        <v>: BOOL;</v>
      </c>
      <c r="E176" s="33" t="str">
        <f>IF('IO List'!B176="IOs",CONCATENATE("// ",'IO List'!F176),"")</f>
        <v>// Start the robot sequence</v>
      </c>
      <c r="G176" s="70" t="str">
        <f t="shared" si="1"/>
        <v>Digital</v>
      </c>
      <c r="H176" s="70" t="str">
        <f>IF('IO List'!E176="Input","Write","Read")</f>
        <v>Read</v>
      </c>
    </row>
    <row r="177" ht="14.25" customHeight="1">
      <c r="B177" s="33" t="str">
        <f>IF('IO List'!B177="IOs",CONCATENATE('IO List'!A177),"")</f>
        <v>SOP750_K3</v>
      </c>
      <c r="C177" s="33" t="str">
        <f>IF('IO List'!B177="IOs",CONCATENATE("AT %",'IO List'!C177),"")</f>
        <v>AT %QX6.2</v>
      </c>
      <c r="D177" s="33" t="str">
        <f>IF('IO List'!B177="IOs",CONCATENATE(": ",'IO List'!D177,";"),"")</f>
        <v>: BOOL;</v>
      </c>
      <c r="E177" s="33" t="str">
        <f>IF('IO List'!B177="IOs",CONCATENATE("// ",'IO List'!F177),"")</f>
        <v>// Reset Safety Circuit</v>
      </c>
      <c r="G177" s="70" t="str">
        <f t="shared" si="1"/>
        <v>Digital</v>
      </c>
      <c r="H177" s="70" t="str">
        <f>IF('IO List'!E177="Input","Write","Read")</f>
        <v>Read</v>
      </c>
    </row>
    <row r="178" ht="14.25" customHeight="1">
      <c r="B178" s="33" t="str">
        <f>IF('IO List'!B178="IOs",CONCATENATE('IO List'!A178),"")</f>
        <v>SOP750_K4</v>
      </c>
      <c r="C178" s="33" t="str">
        <f>IF('IO List'!B178="IOs",CONCATENATE("AT %",'IO List'!C178),"")</f>
        <v>AT %QX6.3</v>
      </c>
      <c r="D178" s="33" t="str">
        <f>IF('IO List'!B178="IOs",CONCATENATE(": ",'IO List'!D178,";"),"")</f>
        <v>: BOOL;</v>
      </c>
      <c r="E178" s="33" t="str">
        <f>IF('IO List'!B178="IOs",CONCATENATE("// ",'IO List'!F178),"")</f>
        <v>// Safety Power Line</v>
      </c>
      <c r="G178" s="70" t="str">
        <f t="shared" si="1"/>
        <v>Digital</v>
      </c>
      <c r="H178" s="70" t="str">
        <f>IF('IO List'!E178="Input","Write","Read")</f>
        <v>Read</v>
      </c>
    </row>
    <row r="179" ht="14.25" customHeight="1">
      <c r="B179" s="33" t="str">
        <f>IF('IO List'!B179="IOs",CONCATENATE('IO List'!A179),"")</f>
        <v>SOP750_K5</v>
      </c>
      <c r="C179" s="33" t="str">
        <f>IF('IO List'!B179="IOs",CONCATENATE("AT %",'IO List'!C179),"")</f>
        <v>AT %QX6.4</v>
      </c>
      <c r="D179" s="33" t="str">
        <f>IF('IO List'!B179="IOs",CONCATENATE(": ",'IO List'!D179,";"),"")</f>
        <v>: BOOL;</v>
      </c>
      <c r="E179" s="33" t="str">
        <f>IF('IO List'!B179="IOs",CONCATENATE("// ",'IO List'!F179),"")</f>
        <v>// Safety Pneumatics</v>
      </c>
      <c r="G179" s="70" t="str">
        <f t="shared" si="1"/>
        <v>Digital</v>
      </c>
      <c r="H179" s="70" t="str">
        <f>IF('IO List'!E179="Input","Write","Read")</f>
        <v>Read</v>
      </c>
    </row>
    <row r="180" ht="14.25" customHeight="1">
      <c r="B180" s="33" t="str">
        <f>IF('IO List'!B180="IOs",CONCATENATE('IO List'!A180),"")</f>
        <v>SOP750_K6</v>
      </c>
      <c r="C180" s="33" t="str">
        <f>IF('IO List'!B180="IOs",CONCATENATE("AT %",'IO List'!C180),"")</f>
        <v>AT %QX6.5</v>
      </c>
      <c r="D180" s="33" t="str">
        <f>IF('IO List'!B180="IOs",CONCATENATE(": ",'IO List'!D180,";"),"")</f>
        <v>: BOOL;</v>
      </c>
      <c r="E180" s="33" t="str">
        <f>IF('IO List'!B180="IOs",CONCATENATE("// ",'IO List'!F180),"")</f>
        <v>// Unlock Gate Request</v>
      </c>
      <c r="G180" s="70" t="str">
        <f t="shared" si="1"/>
        <v>Digital</v>
      </c>
      <c r="H180" s="70" t="str">
        <f>IF('IO List'!E180="Input","Write","Read")</f>
        <v>Read</v>
      </c>
    </row>
    <row r="181" ht="14.25" customHeight="1">
      <c r="B181" s="33" t="str">
        <f>IF('IO List'!B181="IOs",CONCATENATE('IO List'!A181),"")</f>
        <v>SOP700_Faulted</v>
      </c>
      <c r="C181" s="33" t="str">
        <f>IF('IO List'!B181="IOs",CONCATENATE("AT %",'IO List'!C181),"")</f>
        <v>AT %QX6.6</v>
      </c>
      <c r="D181" s="33" t="str">
        <f>IF('IO List'!B181="IOs",CONCATENATE(": ",'IO List'!D181,";"),"")</f>
        <v>: BOOL;</v>
      </c>
      <c r="E181" s="33" t="str">
        <f>IF('IO List'!B181="IOs",CONCATENATE("// ",'IO List'!F181),"")</f>
        <v>// Error in the system</v>
      </c>
      <c r="G181" s="70" t="str">
        <f t="shared" si="1"/>
        <v>Digital</v>
      </c>
      <c r="H181" s="70" t="str">
        <f>IF('IO List'!E181="Input","Write","Read")</f>
        <v>Read</v>
      </c>
    </row>
    <row r="182" ht="14.25" customHeight="1">
      <c r="B182" s="33" t="str">
        <f>IF('IO List'!B182="IOs",CONCATENATE('IO List'!A182),"")</f>
        <v>SOP740_Pal_Pos_1</v>
      </c>
      <c r="C182" s="33" t="str">
        <f>IF('IO List'!B182="IOs",CONCATENATE("AT %",'IO List'!C182),"")</f>
        <v>AT %QX6.7</v>
      </c>
      <c r="D182" s="33" t="str">
        <f>IF('IO List'!B182="IOs",CONCATENATE(": ",'IO List'!D182,";"),"")</f>
        <v>: BOOL;</v>
      </c>
      <c r="E182" s="33" t="str">
        <f>IF('IO List'!B182="IOs",CONCATENATE("// ",'IO List'!F182),"")</f>
        <v>// Pallet 720 Position 1</v>
      </c>
      <c r="G182" s="70" t="str">
        <f t="shared" si="1"/>
        <v>Digital</v>
      </c>
      <c r="H182" s="70" t="str">
        <f>IF('IO List'!E182="Input","Write","Read")</f>
        <v>Read</v>
      </c>
    </row>
    <row r="183" ht="14.25" customHeight="1">
      <c r="B183" s="33" t="str">
        <f>IF('IO List'!B183="IOs",CONCATENATE('IO List'!A183),"")</f>
        <v>SOP740_Pal_Pos_2</v>
      </c>
      <c r="C183" s="33" t="str">
        <f>IF('IO List'!B183="IOs",CONCATENATE("AT %",'IO List'!C183),"")</f>
        <v>AT %QX7.0</v>
      </c>
      <c r="D183" s="33" t="str">
        <f>IF('IO List'!B183="IOs",CONCATENATE(": ",'IO List'!D183,";"),"")</f>
        <v>: BOOL;</v>
      </c>
      <c r="E183" s="33" t="str">
        <f>IF('IO List'!B183="IOs",CONCATENATE("// ",'IO List'!F183),"")</f>
        <v>// Pallet 720 Position 2</v>
      </c>
      <c r="G183" s="70" t="str">
        <f t="shared" si="1"/>
        <v>Digital</v>
      </c>
      <c r="H183" s="70" t="str">
        <f>IF('IO List'!E183="Input","Write","Read")</f>
        <v>Read</v>
      </c>
    </row>
    <row r="184" ht="14.25" customHeight="1">
      <c r="B184" s="33" t="str">
        <f>IF('IO List'!B184="IOs",CONCATENATE('IO List'!A184),"")</f>
        <v>SOP740_Pal_Pos_3</v>
      </c>
      <c r="C184" s="33" t="str">
        <f>IF('IO List'!B184="IOs",CONCATENATE("AT %",'IO List'!C184),"")</f>
        <v>AT %QX7.1</v>
      </c>
      <c r="D184" s="33" t="str">
        <f>IF('IO List'!B184="IOs",CONCATENATE(": ",'IO List'!D184,";"),"")</f>
        <v>: BOOL;</v>
      </c>
      <c r="E184" s="33" t="str">
        <f>IF('IO List'!B184="IOs",CONCATENATE("// ",'IO List'!F184),"")</f>
        <v>// Pallet 720 Position 3</v>
      </c>
      <c r="G184" s="70" t="str">
        <f t="shared" si="1"/>
        <v>Digital</v>
      </c>
      <c r="H184" s="70" t="str">
        <f>IF('IO List'!E184="Input","Write","Read")</f>
        <v>Read</v>
      </c>
    </row>
    <row r="185" ht="14.25" customHeight="1">
      <c r="B185" s="33" t="str">
        <f>IF('IO List'!B185="IOs",CONCATENATE('IO List'!A185),"")</f>
        <v>SOP723_RetirePallet</v>
      </c>
      <c r="C185" s="33" t="str">
        <f>IF('IO List'!B185="IOs",CONCATENATE("AT %",'IO List'!C185),"")</f>
        <v>AT %QX7.2</v>
      </c>
      <c r="D185" s="33" t="str">
        <f>IF('IO List'!B185="IOs",CONCATENATE(": ",'IO List'!D185,";"),"")</f>
        <v>: BOOL;</v>
      </c>
      <c r="E185" s="33" t="str">
        <f>IF('IO List'!B185="IOs",CONCATENATE("// ",'IO List'!F185),"")</f>
        <v>// Pallet Removed Button</v>
      </c>
      <c r="G185" s="70" t="str">
        <f t="shared" si="1"/>
        <v>Digital</v>
      </c>
      <c r="H185" s="70" t="str">
        <f>IF('IO List'!E185="Input","Write","Read")</f>
        <v>Read</v>
      </c>
    </row>
    <row r="186" ht="14.25" customHeight="1">
      <c r="B186" s="33" t="str">
        <f>IF('IO List'!B186="IOs",CONCATENATE('IO List'!A186),"")</f>
        <v>Delete_Box</v>
      </c>
      <c r="C186" s="33" t="str">
        <f>IF('IO List'!B186="IOs",CONCATENATE("AT %",'IO List'!C186),"")</f>
        <v>AT %QX7.3</v>
      </c>
      <c r="D186" s="33" t="str">
        <f>IF('IO List'!B186="IOs",CONCATENATE(": ",'IO List'!D186,";"),"")</f>
        <v>: BOOL;</v>
      </c>
      <c r="E186" s="33" t="str">
        <f>IF('IO List'!B186="IOs",CONCATENATE("// ",'IO List'!F186),"")</f>
        <v>// </v>
      </c>
      <c r="G186" s="70" t="str">
        <f t="shared" si="1"/>
        <v>Digital</v>
      </c>
      <c r="H186" s="70" t="str">
        <f>IF('IO List'!E186="Input","Write","Read")</f>
        <v>Read</v>
      </c>
    </row>
    <row r="187" ht="14.25" customHeight="1">
      <c r="B187" s="33" t="str">
        <f>IF('IO List'!B187="IOs",CONCATENATE('IO List'!A187),"")</f>
        <v/>
      </c>
      <c r="C187" s="33" t="str">
        <f>IF('IO List'!B187="IOs",CONCATENATE("AT %",'IO List'!C187),"")</f>
        <v/>
      </c>
      <c r="D187" s="33" t="str">
        <f>IF('IO List'!B187="IOs",CONCATENATE(": ",'IO List'!D187,";"),"")</f>
        <v/>
      </c>
      <c r="E187" s="33" t="str">
        <f>IF('IO List'!B187="IOs",CONCATENATE("// ",'IO List'!F187),"")</f>
        <v/>
      </c>
      <c r="G187" s="70" t="str">
        <f t="shared" si="1"/>
        <v>Group</v>
      </c>
      <c r="H187" s="70" t="str">
        <f>IF('IO List'!E187="Input","Write","Read")</f>
        <v>Read</v>
      </c>
    </row>
    <row r="188" ht="14.25" customHeight="1">
      <c r="B188" s="33" t="str">
        <f>IF('IO List'!B188="IOs",CONCATENATE('IO List'!A188),"")</f>
        <v/>
      </c>
      <c r="C188" s="33" t="str">
        <f>IF('IO List'!B188="IOs",CONCATENATE("AT %",'IO List'!C188),"")</f>
        <v/>
      </c>
      <c r="D188" s="33" t="str">
        <f>IF('IO List'!B188="IOs",CONCATENATE(": ",'IO List'!D188,";"),"")</f>
        <v/>
      </c>
      <c r="E188" s="33" t="str">
        <f>IF('IO List'!B188="IOs",CONCATENATE("// ",'IO List'!F188),"")</f>
        <v/>
      </c>
      <c r="G188" s="70" t="str">
        <f t="shared" si="1"/>
        <v>Group</v>
      </c>
      <c r="H188" s="70" t="str">
        <f>IF('IO List'!E188="Input","Write","Read")</f>
        <v>Read</v>
      </c>
    </row>
    <row r="189" ht="14.25" customHeight="1">
      <c r="B189" s="33" t="str">
        <f>IF('IO List'!B189="IOs",CONCATENATE('IO List'!A189),"")</f>
        <v/>
      </c>
      <c r="C189" s="33" t="str">
        <f>IF('IO List'!B189="IOs",CONCATENATE("AT %",'IO List'!C189),"")</f>
        <v/>
      </c>
      <c r="D189" s="33" t="str">
        <f>IF('IO List'!B189="IOs",CONCATENATE(": ",'IO List'!D189,";"),"")</f>
        <v/>
      </c>
      <c r="E189" s="33" t="str">
        <f>IF('IO List'!B189="IOs",CONCATENATE("// ",'IO List'!F189),"")</f>
        <v/>
      </c>
      <c r="G189" s="70" t="str">
        <f t="shared" si="1"/>
        <v>Group</v>
      </c>
      <c r="H189" s="70" t="str">
        <f>IF('IO List'!E189="Input","Write","Read")</f>
        <v>Read</v>
      </c>
    </row>
    <row r="190" ht="14.25" customHeight="1">
      <c r="B190" s="33" t="str">
        <f>IF('IO List'!B190="IOs",CONCATENATE('IO List'!A190),"")</f>
        <v/>
      </c>
      <c r="C190" s="33" t="str">
        <f>IF('IO List'!B190="IOs",CONCATENATE("AT %",'IO List'!C190),"")</f>
        <v/>
      </c>
      <c r="D190" s="33" t="str">
        <f>IF('IO List'!B190="IOs",CONCATENATE(": ",'IO List'!D190,";"),"")</f>
        <v/>
      </c>
      <c r="E190" s="33" t="str">
        <f>IF('IO List'!B190="IOs",CONCATENATE("// ",'IO List'!F190),"")</f>
        <v/>
      </c>
      <c r="G190" s="70" t="str">
        <f t="shared" si="1"/>
        <v>Group</v>
      </c>
      <c r="H190" s="70" t="str">
        <f>IF('IO List'!E190="Input","Write","Read")</f>
        <v>Read</v>
      </c>
    </row>
    <row r="191" ht="14.25" customHeight="1">
      <c r="B191" s="33" t="str">
        <f>IF('IO List'!B191="IOs",CONCATENATE('IO List'!A191),"")</f>
        <v/>
      </c>
      <c r="C191" s="33" t="str">
        <f>IF('IO List'!B191="IOs",CONCATENATE("AT %",'IO List'!C191),"")</f>
        <v/>
      </c>
      <c r="D191" s="33" t="str">
        <f>IF('IO List'!B191="IOs",CONCATENATE(": ",'IO List'!D191,";"),"")</f>
        <v/>
      </c>
      <c r="E191" s="33" t="str">
        <f>IF('IO List'!B191="IOs",CONCATENATE("// ",'IO List'!F191),"")</f>
        <v/>
      </c>
      <c r="G191" s="70" t="str">
        <f t="shared" si="1"/>
        <v>Group</v>
      </c>
      <c r="H191" s="70" t="str">
        <f>IF('IO List'!E191="Input","Write","Read")</f>
        <v>Read</v>
      </c>
    </row>
    <row r="192" ht="14.25" customHeight="1">
      <c r="B192" s="33" t="str">
        <f>IF('IO List'!B192="IOs",CONCATENATE('IO List'!A192),"")</f>
        <v>SOP700_H1</v>
      </c>
      <c r="C192" s="33" t="str">
        <f>IF('IO List'!B192="IOs",CONCATENATE("AT %",'IO List'!C192),"")</f>
        <v>AT %QX8.0</v>
      </c>
      <c r="D192" s="33" t="str">
        <f>IF('IO List'!B192="IOs",CONCATENATE(": ",'IO List'!D192,";"),"")</f>
        <v>: BOOL;</v>
      </c>
      <c r="E192" s="33" t="str">
        <f>IF('IO List'!B192="IOs",CONCATENATE("// ",'IO List'!F192),"")</f>
        <v>// Control Voltage On. WHITE Beacon 750</v>
      </c>
      <c r="G192" s="70" t="str">
        <f t="shared" si="1"/>
        <v>Digital</v>
      </c>
      <c r="H192" s="70" t="str">
        <f>IF('IO List'!E192="Input","Write","Read")</f>
        <v>Read</v>
      </c>
    </row>
    <row r="193" ht="14.25" customHeight="1">
      <c r="B193" s="33" t="str">
        <f>IF('IO List'!B193="IOs",CONCATENATE('IO List'!A193),"")</f>
        <v/>
      </c>
      <c r="C193" s="33" t="str">
        <f>IF('IO List'!B193="IOs",CONCATENATE("AT %",'IO List'!C193),"")</f>
        <v/>
      </c>
      <c r="D193" s="33" t="str">
        <f>IF('IO List'!B193="IOs",CONCATENATE(": ",'IO List'!D193,";"),"")</f>
        <v/>
      </c>
      <c r="E193" s="33" t="str">
        <f>IF('IO List'!B193="IOs",CONCATENATE("// ",'IO List'!F193),"")</f>
        <v/>
      </c>
      <c r="G193" s="70" t="str">
        <f t="shared" si="1"/>
        <v>Group</v>
      </c>
      <c r="H193" s="70" t="str">
        <f>IF('IO List'!E193="Input","Write","Read")</f>
        <v>Read</v>
      </c>
    </row>
    <row r="194" ht="14.25" customHeight="1">
      <c r="B194" s="33" t="str">
        <f>IF('IO List'!B194="IOs",CONCATENATE('IO List'!A194),"")</f>
        <v/>
      </c>
      <c r="C194" s="33" t="str">
        <f>IF('IO List'!B194="IOs",CONCATENATE("AT %",'IO List'!C194),"")</f>
        <v/>
      </c>
      <c r="D194" s="33" t="str">
        <f>IF('IO List'!B194="IOs",CONCATENATE(": ",'IO List'!D194,";"),"")</f>
        <v/>
      </c>
      <c r="E194" s="33" t="str">
        <f>IF('IO List'!B194="IOs",CONCATENATE("// ",'IO List'!F194),"")</f>
        <v/>
      </c>
      <c r="G194" s="70" t="str">
        <f t="shared" si="1"/>
        <v>Group</v>
      </c>
      <c r="H194" s="70" t="str">
        <f>IF('IO List'!E194="Input","Write","Read")</f>
        <v>Read</v>
      </c>
    </row>
    <row r="195" ht="14.25" customHeight="1">
      <c r="B195" s="33" t="str">
        <f>IF('IO List'!B195="IOs",CONCATENATE('IO List'!A195),"")</f>
        <v>SOP700_H4</v>
      </c>
      <c r="C195" s="33" t="str">
        <f>IF('IO List'!B195="IOs",CONCATENATE("AT %",'IO List'!C195),"")</f>
        <v>AT %QX8.3</v>
      </c>
      <c r="D195" s="33" t="str">
        <f>IF('IO List'!B195="IOs",CONCATENATE(": ",'IO List'!D195,";"),"")</f>
        <v>: BOOL;</v>
      </c>
      <c r="E195" s="33" t="str">
        <f>IF('IO List'!B195="IOs",CONCATENATE("// ",'IO List'!F195),"")</f>
        <v>// Emergency Alarm. RED all beacons</v>
      </c>
      <c r="G195" s="70" t="str">
        <f t="shared" si="1"/>
        <v>Digital</v>
      </c>
      <c r="H195" s="70" t="str">
        <f>IF('IO List'!E195="Input","Write","Read")</f>
        <v>Read</v>
      </c>
    </row>
    <row r="196" ht="14.25" customHeight="1">
      <c r="B196" s="33" t="str">
        <f>IF('IO List'!B196="IOs",CONCATENATE('IO List'!A196),"")</f>
        <v/>
      </c>
      <c r="C196" s="33" t="str">
        <f>IF('IO List'!B196="IOs",CONCATENATE("AT %",'IO List'!C196),"")</f>
        <v/>
      </c>
      <c r="D196" s="33" t="str">
        <f>IF('IO List'!B196="IOs",CONCATENATE(": ",'IO List'!D196,";"),"")</f>
        <v/>
      </c>
      <c r="E196" s="33" t="str">
        <f>IF('IO List'!B196="IOs",CONCATENATE("// ",'IO List'!F196),"")</f>
        <v/>
      </c>
      <c r="G196" s="70" t="str">
        <f t="shared" si="1"/>
        <v>Group</v>
      </c>
      <c r="H196" s="70" t="str">
        <f>IF('IO List'!E196="Input","Write","Read")</f>
        <v>Read</v>
      </c>
    </row>
    <row r="197" ht="14.25" customHeight="1">
      <c r="B197" s="33" t="str">
        <f>IF('IO List'!B197="IOs",CONCATENATE('IO List'!A197),"")</f>
        <v/>
      </c>
      <c r="C197" s="33" t="str">
        <f>IF('IO List'!B197="IOs",CONCATENATE("AT %",'IO List'!C197),"")</f>
        <v/>
      </c>
      <c r="D197" s="33" t="str">
        <f>IF('IO List'!B197="IOs",CONCATENATE(": ",'IO List'!D197,";"),"")</f>
        <v/>
      </c>
      <c r="E197" s="33" t="str">
        <f>IF('IO List'!B197="IOs",CONCATENATE("// ",'IO List'!F197),"")</f>
        <v/>
      </c>
      <c r="G197" s="70" t="str">
        <f t="shared" si="1"/>
        <v>Group</v>
      </c>
      <c r="H197" s="70" t="str">
        <f>IF('IO List'!E197="Input","Write","Read")</f>
        <v>Read</v>
      </c>
    </row>
    <row r="198" ht="14.25" customHeight="1">
      <c r="B198" s="33" t="str">
        <f>IF('IO List'!B198="IOs",CONCATENATE('IO List'!A198),"")</f>
        <v>SOP700_H7</v>
      </c>
      <c r="C198" s="33" t="str">
        <f>IF('IO List'!B198="IOs",CONCATENATE("AT %",'IO List'!C198),"")</f>
        <v>AT %QX8.6</v>
      </c>
      <c r="D198" s="33" t="str">
        <f>IF('IO List'!B198="IOs",CONCATENATE(": ",'IO List'!D198,";"),"")</f>
        <v>: BOOL;</v>
      </c>
      <c r="E198" s="33" t="str">
        <f>IF('IO List'!B198="IOs",CONCATENATE("// ",'IO List'!F198),"")</f>
        <v>// Cycle ON. GREEN all beacons</v>
      </c>
      <c r="G198" s="70" t="str">
        <f t="shared" si="1"/>
        <v>Digital</v>
      </c>
      <c r="H198" s="70" t="str">
        <f>IF('IO List'!E198="Input","Write","Read")</f>
        <v>Read</v>
      </c>
    </row>
    <row r="199" ht="14.25" customHeight="1">
      <c r="B199" s="33" t="str">
        <f>IF('IO List'!B199="IOs",CONCATENATE('IO List'!A199),"")</f>
        <v/>
      </c>
      <c r="C199" s="33" t="str">
        <f>IF('IO List'!B199="IOs",CONCATENATE("AT %",'IO List'!C199),"")</f>
        <v/>
      </c>
      <c r="D199" s="33" t="str">
        <f>IF('IO List'!B199="IOs",CONCATENATE(": ",'IO List'!D199,";"),"")</f>
        <v/>
      </c>
      <c r="E199" s="33" t="str">
        <f>IF('IO List'!B199="IOs",CONCATENATE("// ",'IO List'!F199),"")</f>
        <v/>
      </c>
      <c r="G199" s="70" t="str">
        <f t="shared" si="1"/>
        <v>Group</v>
      </c>
      <c r="H199" s="70" t="str">
        <f>IF('IO List'!E199="Input","Write","Read")</f>
        <v>Read</v>
      </c>
    </row>
    <row r="200" ht="14.25" customHeight="1">
      <c r="B200" s="33" t="str">
        <f>IF('IO List'!B200="IOs",CONCATENATE('IO List'!A200),"")</f>
        <v/>
      </c>
      <c r="C200" s="33" t="str">
        <f>IF('IO List'!B200="IOs",CONCATENATE("AT %",'IO List'!C200),"")</f>
        <v/>
      </c>
      <c r="D200" s="33" t="str">
        <f>IF('IO List'!B200="IOs",CONCATENATE(": ",'IO List'!D200,";"),"")</f>
        <v/>
      </c>
      <c r="E200" s="33" t="str">
        <f>IF('IO List'!B200="IOs",CONCATENATE("// ",'IO List'!F200),"")</f>
        <v/>
      </c>
      <c r="G200" s="70" t="str">
        <f t="shared" si="1"/>
        <v>Group</v>
      </c>
      <c r="H200" s="70" t="str">
        <f>IF('IO List'!E200="Input","Write","Read")</f>
        <v>Read</v>
      </c>
    </row>
    <row r="201" ht="14.25" customHeight="1">
      <c r="B201" s="33" t="str">
        <f>IF('IO List'!B201="IOs",CONCATENATE('IO List'!A201),"")</f>
        <v>SOP700_H10</v>
      </c>
      <c r="C201" s="33" t="str">
        <f>IF('IO List'!B201="IOs",CONCATENATE("AT %",'IO List'!C201),"")</f>
        <v>AT %QX9.1</v>
      </c>
      <c r="D201" s="33" t="str">
        <f>IF('IO List'!B201="IOs",CONCATENATE(": ",'IO List'!D201,";"),"")</f>
        <v>: BOOL;</v>
      </c>
      <c r="E201" s="33" t="str">
        <f>IF('IO List'!B201="IOs",CONCATENATE("// ",'IO List'!F201),"")</f>
        <v>// Pallet Dispensor Empty. ORANGE Beacon 720</v>
      </c>
      <c r="G201" s="70" t="str">
        <f t="shared" si="1"/>
        <v>Digital</v>
      </c>
      <c r="H201" s="70" t="str">
        <f>IF('IO List'!E201="Input","Write","Read")</f>
        <v>Read</v>
      </c>
    </row>
    <row r="202" ht="14.25" customHeight="1">
      <c r="B202" s="33" t="str">
        <f>IF('IO List'!B202="IOs",CONCATENATE('IO List'!A202),"")</f>
        <v>SOP700_H11</v>
      </c>
      <c r="C202" s="33" t="str">
        <f>IF('IO List'!B202="IOs",CONCATENATE("AT %",'IO List'!C202),"")</f>
        <v>AT %QX9.2</v>
      </c>
      <c r="D202" s="33" t="str">
        <f>IF('IO List'!B202="IOs",CONCATENATE(": ",'IO List'!D202,";"),"")</f>
        <v>: BOOL;</v>
      </c>
      <c r="E202" s="33" t="str">
        <f>IF('IO List'!B202="IOs",CONCATENATE("// ",'IO List'!F202),"")</f>
        <v>// Retire full pallet ORANGE Beacon 723</v>
      </c>
      <c r="G202" s="70" t="str">
        <f t="shared" si="1"/>
        <v>Digital</v>
      </c>
      <c r="H202" s="70" t="str">
        <f>IF('IO List'!E202="Input","Write","Read")</f>
        <v>Read</v>
      </c>
    </row>
    <row r="203" ht="14.25" customHeight="1">
      <c r="B203" s="33" t="str">
        <f>IF('IO List'!B203="IOs",CONCATENATE('IO List'!A203),"")</f>
        <v>SOP700_H14</v>
      </c>
      <c r="C203" s="33" t="str">
        <f>IF('IO List'!B203="IOs",CONCATENATE("AT %",'IO List'!C203),"")</f>
        <v>AT %QX9.3</v>
      </c>
      <c r="D203" s="33" t="str">
        <f>IF('IO List'!B203="IOs",CONCATENATE(": ",'IO List'!D203,";"),"")</f>
        <v>: BOOL;</v>
      </c>
      <c r="E203" s="33" t="str">
        <f>IF('IO List'!B203="IOs",CONCATENATE("// ",'IO List'!F203),"")</f>
        <v>// Safety Gate Open. ORANGE Beacon 750</v>
      </c>
      <c r="G203" s="70" t="str">
        <f t="shared" si="1"/>
        <v>Digital</v>
      </c>
      <c r="H203" s="70" t="str">
        <f>IF('IO List'!E203="Input","Write","Read")</f>
        <v>Read</v>
      </c>
    </row>
    <row r="204" ht="14.25" customHeight="1">
      <c r="B204" s="33" t="str">
        <f>IF('IO List'!B204="IOs",CONCATENATE('IO List'!A204),"")</f>
        <v>SOP700_H15</v>
      </c>
      <c r="C204" s="33" t="str">
        <f>IF('IO List'!B204="IOs",CONCATENATE("AT %",'IO List'!C204),"")</f>
        <v>AT %QX9.4</v>
      </c>
      <c r="D204" s="33" t="str">
        <f>IF('IO List'!B204="IOs",CONCATENATE(": ",'IO List'!D204,";"),"")</f>
        <v>: BOOL;</v>
      </c>
      <c r="E204" s="33" t="str">
        <f>IF('IO List'!B204="IOs",CONCATENATE("// ",'IO List'!F204),"")</f>
        <v>// Light curtain Unmuted. BLUE Beacon 720</v>
      </c>
      <c r="G204" s="70" t="str">
        <f t="shared" si="1"/>
        <v>Digital</v>
      </c>
      <c r="H204" s="70" t="str">
        <f>IF('IO List'!E204="Input","Write","Read")</f>
        <v>Read</v>
      </c>
    </row>
    <row r="205" ht="14.25" customHeight="1">
      <c r="B205" s="33" t="str">
        <f>IF('IO List'!B205="IOs",CONCATENATE('IO List'!A205),"")</f>
        <v>SOP700_H16</v>
      </c>
      <c r="C205" s="33" t="str">
        <f>IF('IO List'!B205="IOs",CONCATENATE("AT %",'IO List'!C205),"")</f>
        <v>AT %QX9.5</v>
      </c>
      <c r="D205" s="33" t="str">
        <f>IF('IO List'!B205="IOs",CONCATENATE(": ",'IO List'!D205,";"),"")</f>
        <v>: BOOL;</v>
      </c>
      <c r="E205" s="33" t="str">
        <f>IF('IO List'!B205="IOs",CONCATENATE("// ",'IO List'!F205),"")</f>
        <v>// Light curtain Unmuted. BLUE Beacon 723</v>
      </c>
      <c r="G205" s="70" t="str">
        <f t="shared" si="1"/>
        <v>Digital</v>
      </c>
      <c r="H205" s="70" t="str">
        <f>IF('IO List'!E205="Input","Write","Read")</f>
        <v>Read</v>
      </c>
    </row>
    <row r="206" ht="14.25" customHeight="1">
      <c r="B206" s="33" t="str">
        <f>IF('IO List'!B206="IOs",CONCATENATE('IO List'!A206),"")</f>
        <v>SOP700_H12</v>
      </c>
      <c r="C206" s="33" t="str">
        <f>IF('IO List'!B206="IOs",CONCATENATE("AT %",'IO List'!C206),"")</f>
        <v>AT %QX9.6</v>
      </c>
      <c r="D206" s="33" t="str">
        <f>IF('IO List'!B206="IOs",CONCATENATE(": ",'IO List'!D206,";"),"")</f>
        <v>: BOOL;</v>
      </c>
      <c r="E206" s="33" t="str">
        <f>IF('IO List'!B206="IOs",CONCATENATE("// ",'IO List'!F206),"")</f>
        <v>// Emergency Alarm. RED HMI</v>
      </c>
      <c r="G206" s="70" t="str">
        <f t="shared" si="1"/>
        <v>Digital</v>
      </c>
      <c r="H206" s="70" t="str">
        <f>IF('IO List'!E206="Input","Write","Read")</f>
        <v>Read</v>
      </c>
    </row>
    <row r="207" ht="14.25" customHeight="1">
      <c r="B207" s="33" t="str">
        <f>IF('IO List'!B207="IOs",CONCATENATE('IO List'!A207),"")</f>
        <v/>
      </c>
      <c r="C207" s="33" t="str">
        <f>IF('IO List'!B207="IOs",CONCATENATE("AT %",'IO List'!C207),"")</f>
        <v/>
      </c>
      <c r="D207" s="33" t="str">
        <f>IF('IO List'!B207="IOs",CONCATENATE(": ",'IO List'!D207,";"),"")</f>
        <v/>
      </c>
      <c r="E207" s="33" t="str">
        <f>IF('IO List'!B207="IOs",CONCATENATE("// ",'IO List'!F207),"")</f>
        <v/>
      </c>
      <c r="G207" s="70" t="str">
        <f t="shared" si="1"/>
        <v>Group</v>
      </c>
      <c r="H207" s="70" t="str">
        <f>IF('IO List'!E207="Input","Write","Read")</f>
        <v>Read</v>
      </c>
    </row>
    <row r="208" ht="14.25" customHeight="1">
      <c r="B208" s="33" t="str">
        <f>IF('IO List'!B208="IOs",CONCATENATE('IO List'!A208),"")</f>
        <v/>
      </c>
      <c r="C208" s="33" t="str">
        <f>IF('IO List'!B208="IOs",CONCATENATE("AT %",'IO List'!C208),"")</f>
        <v/>
      </c>
      <c r="D208" s="33" t="str">
        <f>IF('IO List'!B208="IOs",CONCATENATE(": ",'IO List'!D208,";"),"")</f>
        <v/>
      </c>
      <c r="E208" s="33" t="str">
        <f>IF('IO List'!B208="IOs",CONCATENATE("// ",'IO List'!F208),"")</f>
        <v/>
      </c>
      <c r="G208" s="70" t="str">
        <f t="shared" si="1"/>
        <v>Group</v>
      </c>
      <c r="H208" s="70" t="str">
        <f>IF('IO List'!E208="Input","Write","Read")</f>
        <v>Read</v>
      </c>
    </row>
    <row r="209" ht="14.25" customHeight="1">
      <c r="B209" s="33" t="str">
        <f>IF('IO List'!B209="IOs",CONCATENATE('IO List'!A209),"")</f>
        <v>Box_MB16_Acc</v>
      </c>
      <c r="C209" s="33" t="str">
        <f>IF('IO List'!B209="IOs",CONCATENATE("AT %",'IO List'!C209),"")</f>
        <v>AT %QX10.0</v>
      </c>
      <c r="D209" s="33" t="str">
        <f>IF('IO List'!B209="IOs",CONCATENATE(": ",'IO List'!D209,";"),"")</f>
        <v>: BOOL;</v>
      </c>
      <c r="E209" s="33" t="str">
        <f>IF('IO List'!B209="IOs",CONCATENATE("// ",'IO List'!F209),"")</f>
        <v>// Box 1 Accepted</v>
      </c>
      <c r="G209" s="70" t="str">
        <f t="shared" si="1"/>
        <v>Digital</v>
      </c>
      <c r="H209" s="70" t="str">
        <f>IF('IO List'!E209="Input","Write","Read")</f>
        <v>Read</v>
      </c>
    </row>
    <row r="210" ht="14.25" customHeight="1">
      <c r="B210" s="33" t="str">
        <f>IF('IO List'!B210="IOs",CONCATENATE('IO List'!A210),"")</f>
        <v>Box_MB16T_Acc</v>
      </c>
      <c r="C210" s="33" t="str">
        <f>IF('IO List'!B210="IOs",CONCATENATE("AT %",'IO List'!C210),"")</f>
        <v>AT %QX10.1</v>
      </c>
      <c r="D210" s="33" t="str">
        <f>IF('IO List'!B210="IOs",CONCATENATE(": ",'IO List'!D210,";"),"")</f>
        <v>: BOOL;</v>
      </c>
      <c r="E210" s="33" t="str">
        <f>IF('IO List'!B210="IOs",CONCATENATE("// ",'IO List'!F210),"")</f>
        <v>// Box 2 Accepted</v>
      </c>
      <c r="G210" s="70" t="str">
        <f t="shared" si="1"/>
        <v>Digital</v>
      </c>
      <c r="H210" s="70" t="str">
        <f>IF('IO List'!E210="Input","Write","Read")</f>
        <v>Read</v>
      </c>
    </row>
    <row r="211" ht="14.25" customHeight="1">
      <c r="B211" s="33" t="str">
        <f>IF('IO List'!B211="IOs",CONCATENATE('IO List'!A211),"")</f>
        <v>Box_MB20_Acc</v>
      </c>
      <c r="C211" s="33" t="str">
        <f>IF('IO List'!B211="IOs",CONCATENATE("AT %",'IO List'!C211),"")</f>
        <v>AT %QX10.2</v>
      </c>
      <c r="D211" s="33" t="str">
        <f>IF('IO List'!B211="IOs",CONCATENATE(": ",'IO List'!D211,";"),"")</f>
        <v>: BOOL;</v>
      </c>
      <c r="E211" s="33" t="str">
        <f>IF('IO List'!B211="IOs",CONCATENATE("// ",'IO List'!F211),"")</f>
        <v>// Box 3 Accepted</v>
      </c>
      <c r="G211" s="70" t="str">
        <f t="shared" si="1"/>
        <v>Digital</v>
      </c>
      <c r="H211" s="70" t="str">
        <f>IF('IO List'!E211="Input","Write","Read")</f>
        <v>Read</v>
      </c>
    </row>
    <row r="212" ht="14.25" customHeight="1">
      <c r="B212" s="33" t="str">
        <f>IF('IO List'!B212="IOs",CONCATENATE('IO List'!A212),"")</f>
        <v>Box_MB24_Acc</v>
      </c>
      <c r="C212" s="33" t="str">
        <f>IF('IO List'!B212="IOs",CONCATENATE("AT %",'IO List'!C212),"")</f>
        <v>AT %QX10.3</v>
      </c>
      <c r="D212" s="33" t="str">
        <f>IF('IO List'!B212="IOs",CONCATENATE(": ",'IO List'!D212,";"),"")</f>
        <v>: BOOL;</v>
      </c>
      <c r="E212" s="33" t="str">
        <f>IF('IO List'!B212="IOs",CONCATENATE("// ",'IO List'!F212),"")</f>
        <v>// Box 4 Accepted</v>
      </c>
      <c r="G212" s="70" t="str">
        <f t="shared" si="1"/>
        <v>Digital</v>
      </c>
      <c r="H212" s="70" t="str">
        <f>IF('IO List'!E212="Input","Write","Read")</f>
        <v>Read</v>
      </c>
    </row>
    <row r="213" ht="14.25" customHeight="1">
      <c r="B213" s="33" t="str">
        <f>IF('IO List'!B213="IOs",CONCATENATE('IO List'!A213),"")</f>
        <v>Box_MB16_Rej</v>
      </c>
      <c r="C213" s="33" t="str">
        <f>IF('IO List'!B213="IOs",CONCATENATE("AT %",'IO List'!C213),"")</f>
        <v>AT %QX10.4</v>
      </c>
      <c r="D213" s="33" t="str">
        <f>IF('IO List'!B213="IOs",CONCATENATE(": ",'IO List'!D213,";"),"")</f>
        <v>: BOOL;</v>
      </c>
      <c r="E213" s="33" t="str">
        <f>IF('IO List'!B213="IOs",CONCATENATE("// ",'IO List'!F213),"")</f>
        <v>// Box 1 Rejected</v>
      </c>
      <c r="G213" s="70" t="str">
        <f t="shared" si="1"/>
        <v>Digital</v>
      </c>
      <c r="H213" s="70" t="str">
        <f>IF('IO List'!E213="Input","Write","Read")</f>
        <v>Read</v>
      </c>
    </row>
    <row r="214" ht="14.25" customHeight="1">
      <c r="B214" s="33" t="str">
        <f>IF('IO List'!B214="IOs",CONCATENATE('IO List'!A214),"")</f>
        <v>Box_MB16T_Rej</v>
      </c>
      <c r="C214" s="33" t="str">
        <f>IF('IO List'!B214="IOs",CONCATENATE("AT %",'IO List'!C214),"")</f>
        <v>AT %QX10.5</v>
      </c>
      <c r="D214" s="33" t="str">
        <f>IF('IO List'!B214="IOs",CONCATENATE(": ",'IO List'!D214,";"),"")</f>
        <v>: BOOL;</v>
      </c>
      <c r="E214" s="33" t="str">
        <f>IF('IO List'!B214="IOs",CONCATENATE("// ",'IO List'!F214),"")</f>
        <v>// Box 2 Rejected</v>
      </c>
      <c r="G214" s="70" t="str">
        <f t="shared" si="1"/>
        <v>Digital</v>
      </c>
      <c r="H214" s="70" t="str">
        <f>IF('IO List'!E214="Input","Write","Read")</f>
        <v>Read</v>
      </c>
    </row>
    <row r="215" ht="14.25" customHeight="1">
      <c r="B215" s="33" t="str">
        <f>IF('IO List'!B215="IOs",CONCATENATE('IO List'!A215),"")</f>
        <v>Box_MB20_Rej</v>
      </c>
      <c r="C215" s="33" t="str">
        <f>IF('IO List'!B215="IOs",CONCATENATE("AT %",'IO List'!C215),"")</f>
        <v>AT %QX10.6</v>
      </c>
      <c r="D215" s="33" t="str">
        <f>IF('IO List'!B215="IOs",CONCATENATE(": ",'IO List'!D215,";"),"")</f>
        <v>: BOOL;</v>
      </c>
      <c r="E215" s="33" t="str">
        <f>IF('IO List'!B215="IOs",CONCATENATE("// ",'IO List'!F215),"")</f>
        <v>// Box 3 Rejected</v>
      </c>
      <c r="G215" s="70" t="str">
        <f t="shared" si="1"/>
        <v>Digital</v>
      </c>
      <c r="H215" s="70" t="str">
        <f>IF('IO List'!E215="Input","Write","Read")</f>
        <v>Read</v>
      </c>
    </row>
    <row r="216" ht="14.25" customHeight="1">
      <c r="B216" s="33" t="str">
        <f>IF('IO List'!B216="IOs",CONCATENATE('IO List'!A216),"")</f>
        <v>Box_MB24_Rej</v>
      </c>
      <c r="C216" s="33" t="str">
        <f>IF('IO List'!B216="IOs",CONCATENATE("AT %",'IO List'!C216),"")</f>
        <v>AT %QX10.7</v>
      </c>
      <c r="D216" s="33" t="str">
        <f>IF('IO List'!B216="IOs",CONCATENATE(": ",'IO List'!D216,";"),"")</f>
        <v>: BOOL;</v>
      </c>
      <c r="E216" s="33" t="str">
        <f>IF('IO List'!B216="IOs",CONCATENATE("// ",'IO List'!F216),"")</f>
        <v>// Box 4 Rejected</v>
      </c>
      <c r="G216" s="70" t="str">
        <f t="shared" si="1"/>
        <v>Digital</v>
      </c>
      <c r="H216" s="70" t="str">
        <f>IF('IO List'!E216="Input","Write","Read")</f>
        <v>Read</v>
      </c>
    </row>
    <row r="217" ht="14.25" customHeight="1">
      <c r="B217" s="33" t="str">
        <f>IF('IO List'!B217="IOs",CONCATENATE('IO List'!A217),"")</f>
        <v>Pallet_Creation</v>
      </c>
      <c r="C217" s="33" t="str">
        <f>IF('IO List'!B217="IOs",CONCATENATE("AT %",'IO List'!C217),"")</f>
        <v>AT %QX11.0</v>
      </c>
      <c r="D217" s="33" t="str">
        <f>IF('IO List'!B217="IOs",CONCATENATE(": ",'IO List'!D217,";"),"")</f>
        <v>: BOOL;</v>
      </c>
      <c r="E217" s="33" t="str">
        <f>IF('IO List'!B217="IOs",CONCATENATE("// ",'IO List'!F217),"")</f>
        <v>// Create a pallet on SOP720</v>
      </c>
      <c r="G217" s="70" t="str">
        <f t="shared" si="1"/>
        <v>Digital</v>
      </c>
      <c r="H217" s="70" t="str">
        <f>IF('IO List'!E217="Input","Write","Read")</f>
        <v>Read</v>
      </c>
    </row>
    <row r="218" ht="14.25" customHeight="1">
      <c r="B218" s="33" t="str">
        <f>IF('IO List'!B218="IOs",CONCATENATE('IO List'!A218),"")</f>
        <v>OP730_Sending</v>
      </c>
      <c r="C218" s="33" t="str">
        <f>IF('IO List'!B218="IOs",CONCATENATE("AT %",'IO List'!C218),"")</f>
        <v>AT %QX11.1</v>
      </c>
      <c r="D218" s="33" t="str">
        <f>IF('IO List'!B218="IOs",CONCATENATE(": ",'IO List'!D218,";"),"")</f>
        <v>: INT;</v>
      </c>
      <c r="E218" s="33" t="str">
        <f>IF('IO List'!B218="IOs",CONCATENATE("// ",'IO List'!F218),"")</f>
        <v>// SOP730 Conveyor transfering</v>
      </c>
      <c r="G218" s="70" t="str">
        <f t="shared" si="1"/>
        <v>Group</v>
      </c>
      <c r="H218" s="70" t="str">
        <f>IF('IO List'!E218="Input","Write","Read")</f>
        <v>Read</v>
      </c>
    </row>
    <row r="219" ht="14.25" customHeight="1">
      <c r="B219" s="33" t="str">
        <f>IF('IO List'!B219="IOs",CONCATENATE('IO List'!A219),"")</f>
        <v/>
      </c>
      <c r="C219" s="33" t="str">
        <f>IF('IO List'!B219="IOs",CONCATENATE("AT %",'IO List'!C219),"")</f>
        <v/>
      </c>
      <c r="D219" s="33" t="str">
        <f>IF('IO List'!B219="IOs",CONCATENATE(": ",'IO List'!D219,";"),"")</f>
        <v/>
      </c>
      <c r="E219" s="33" t="str">
        <f>IF('IO List'!B219="IOs",CONCATENATE("// ",'IO List'!F219),"")</f>
        <v/>
      </c>
      <c r="G219" s="70" t="str">
        <f t="shared" si="1"/>
        <v>Group</v>
      </c>
      <c r="H219" s="70" t="str">
        <f>IF('IO List'!E219="Input","Write","Read")</f>
        <v>Read</v>
      </c>
    </row>
    <row r="220" ht="14.25" customHeight="1">
      <c r="B220" s="33" t="str">
        <f>IF('IO List'!B220="IOs",CONCATENATE('IO List'!A220),"")</f>
        <v/>
      </c>
      <c r="C220" s="33" t="str">
        <f>IF('IO List'!B220="IOs",CONCATENATE("AT %",'IO List'!C220),"")</f>
        <v/>
      </c>
      <c r="D220" s="33" t="str">
        <f>IF('IO List'!B220="IOs",CONCATENATE(": ",'IO List'!D220,";"),"")</f>
        <v/>
      </c>
      <c r="E220" s="33" t="str">
        <f>IF('IO List'!B220="IOs",CONCATENATE("// ",'IO List'!F220),"")</f>
        <v/>
      </c>
      <c r="G220" s="70" t="str">
        <f t="shared" si="1"/>
        <v>Group</v>
      </c>
      <c r="H220" s="70" t="str">
        <f>IF('IO List'!E220="Input","Write","Read")</f>
        <v>Read</v>
      </c>
    </row>
    <row r="221" ht="14.25" customHeight="1">
      <c r="B221" s="33" t="str">
        <f>IF('IO List'!B221="IOs",CONCATENATE('IO List'!A221),"")</f>
        <v/>
      </c>
      <c r="C221" s="33" t="str">
        <f>IF('IO List'!B221="IOs",CONCATENATE("AT %",'IO List'!C221),"")</f>
        <v/>
      </c>
      <c r="D221" s="33" t="str">
        <f>IF('IO List'!B221="IOs",CONCATENATE(": ",'IO List'!D221,";"),"")</f>
        <v/>
      </c>
      <c r="E221" s="33" t="str">
        <f>IF('IO List'!B221="IOs",CONCATENATE("// ",'IO List'!F221),"")</f>
        <v/>
      </c>
      <c r="G221" s="70" t="str">
        <f t="shared" si="1"/>
        <v>Group</v>
      </c>
      <c r="H221" s="70" t="str">
        <f>IF('IO List'!E221="Input","Write","Read")</f>
        <v>Read</v>
      </c>
    </row>
    <row r="222" ht="14.25" customHeight="1">
      <c r="B222" s="33" t="str">
        <f>IF('IO List'!B222="IOs",CONCATENATE('IO List'!A222),"")</f>
        <v/>
      </c>
      <c r="C222" s="33" t="str">
        <f>IF('IO List'!B222="IOs",CONCATENATE("AT %",'IO List'!C222),"")</f>
        <v/>
      </c>
      <c r="D222" s="33" t="str">
        <f>IF('IO List'!B222="IOs",CONCATENATE(": ",'IO List'!D222,";"),"")</f>
        <v/>
      </c>
      <c r="E222" s="33" t="str">
        <f>IF('IO List'!B222="IOs",CONCATENATE("// ",'IO List'!F222),"")</f>
        <v/>
      </c>
      <c r="G222" s="70" t="str">
        <f t="shared" si="1"/>
        <v>Group</v>
      </c>
      <c r="H222" s="70" t="str">
        <f>IF('IO List'!E222="Input","Write","Read")</f>
        <v>Read</v>
      </c>
    </row>
    <row r="223" ht="14.25" customHeight="1">
      <c r="B223" s="33" t="str">
        <f>IF('IO List'!B223="IOs",CONCATENATE('IO List'!A223),"")</f>
        <v/>
      </c>
      <c r="C223" s="33" t="str">
        <f>IF('IO List'!B223="IOs",CONCATENATE("AT %",'IO List'!C223),"")</f>
        <v/>
      </c>
      <c r="D223" s="33" t="str">
        <f>IF('IO List'!B223="IOs",CONCATENATE(": ",'IO List'!D223,";"),"")</f>
        <v/>
      </c>
      <c r="E223" s="33" t="str">
        <f>IF('IO List'!B223="IOs",CONCATENATE("// ",'IO List'!F223),"")</f>
        <v/>
      </c>
      <c r="G223" s="70" t="str">
        <f t="shared" si="1"/>
        <v>Group</v>
      </c>
      <c r="H223" s="70" t="str">
        <f>IF('IO List'!E223="Input","Write","Read")</f>
        <v>Read</v>
      </c>
    </row>
    <row r="224" ht="14.25" customHeight="1">
      <c r="B224" s="33" t="str">
        <f>IF('IO List'!B224="IOs",CONCATENATE('IO List'!A224),"")</f>
        <v/>
      </c>
      <c r="C224" s="33" t="str">
        <f>IF('IO List'!B224="IOs",CONCATENATE("AT %",'IO List'!C224),"")</f>
        <v/>
      </c>
      <c r="D224" s="33" t="str">
        <f>IF('IO List'!B224="IOs",CONCATENATE(": ",'IO List'!D224,";"),"")</f>
        <v/>
      </c>
      <c r="E224" s="33" t="str">
        <f>IF('IO List'!B224="IOs",CONCATENATE("// ",'IO List'!F224),"")</f>
        <v/>
      </c>
      <c r="G224" s="70" t="str">
        <f t="shared" si="1"/>
        <v>Group</v>
      </c>
      <c r="H224" s="70" t="str">
        <f>IF('IO List'!E224="Input","Write","Read")</f>
        <v>Read</v>
      </c>
    </row>
    <row r="225" ht="14.25" customHeight="1">
      <c r="B225" s="33" t="str">
        <f>IF('IO List'!B225="IOs",CONCATENATE('IO List'!A225),"")</f>
        <v/>
      </c>
      <c r="C225" s="33" t="str">
        <f>IF('IO List'!B225="IOs",CONCATENATE("AT %",'IO List'!C225),"")</f>
        <v/>
      </c>
      <c r="D225" s="33" t="str">
        <f>IF('IO List'!B225="IOs",CONCATENATE(": ",'IO List'!D225,";"),"")</f>
        <v/>
      </c>
      <c r="E225" s="33" t="str">
        <f>IF('IO List'!B225="IOs",CONCATENATE("// ",'IO List'!F225),"")</f>
        <v/>
      </c>
      <c r="G225" s="70" t="str">
        <f t="shared" si="1"/>
        <v>Group</v>
      </c>
      <c r="H225" s="70" t="str">
        <f>IF('IO List'!E225="Input","Write","Read")</f>
        <v>Read</v>
      </c>
    </row>
    <row r="226" ht="14.25" customHeight="1">
      <c r="B226" s="33" t="str">
        <f>IF('IO List'!B226="IOs",CONCATENATE('IO List'!A226),"")</f>
        <v>Box_ProductNr</v>
      </c>
      <c r="C226" s="33" t="str">
        <f>IF('IO List'!B226="IOs",CONCATENATE("AT %",'IO List'!C226),"")</f>
        <v>AT %</v>
      </c>
      <c r="D226" s="33" t="str">
        <f>IF('IO List'!B226="IOs",CONCATENATE(": ",'IO List'!D226,";"),"")</f>
        <v>: INT;</v>
      </c>
      <c r="E226" s="33" t="str">
        <f>IF('IO List'!B226="IOs",CONCATENATE("// ",'IO List'!F226),"")</f>
        <v>// Change to UINT in CoDeSys IOs</v>
      </c>
      <c r="G226" s="70" t="str">
        <f t="shared" si="1"/>
        <v>Group</v>
      </c>
      <c r="H226" s="70" t="str">
        <f>IF('IO List'!E226="Input","Write","Read")</f>
        <v>Write</v>
      </c>
    </row>
    <row r="227" ht="14.25" customHeight="1">
      <c r="B227" s="33" t="str">
        <f>IF('IO List'!B227="IOs",CONCATENATE('IO List'!A227),"")</f>
        <v>Box_IDNumber</v>
      </c>
      <c r="C227" s="33" t="str">
        <f>IF('IO List'!B227="IOs",CONCATENATE("AT %",'IO List'!C227),"")</f>
        <v>AT %</v>
      </c>
      <c r="D227" s="33" t="str">
        <f>IF('IO List'!B227="IOs",CONCATENATE(": ",'IO List'!D227,";"),"")</f>
        <v>: INT;</v>
      </c>
      <c r="E227" s="33" t="str">
        <f>IF('IO List'!B227="IOs",CONCATENATE("// ",'IO List'!F227),"")</f>
        <v>// Change to UDINT  in CoDeSys Ios</v>
      </c>
      <c r="G227" s="70" t="str">
        <f t="shared" si="1"/>
        <v>Group</v>
      </c>
      <c r="H227" s="70" t="str">
        <f>IF('IO List'!E227="Input","Write","Read")</f>
        <v>Write</v>
      </c>
    </row>
    <row r="228" ht="14.25" customHeight="1">
      <c r="B228" s="33" t="str">
        <f>IF('IO List'!B228="IOs",CONCATENATE('IO List'!A228),"")</f>
        <v>Status</v>
      </c>
      <c r="C228" s="33" t="str">
        <f>IF('IO List'!B228="IOs",CONCATENATE("AT %",'IO List'!C228),"")</f>
        <v>AT %</v>
      </c>
      <c r="D228" s="33" t="str">
        <f>IF('IO List'!B228="IOs",CONCATENATE(": ",'IO List'!D228,";"),"")</f>
        <v>: INT;</v>
      </c>
      <c r="E228" s="33" t="str">
        <f>IF('IO List'!B228="IOs",CONCATENATE("// ",'IO List'!F228),"")</f>
        <v>// Regular INT</v>
      </c>
      <c r="G228" s="70" t="str">
        <f t="shared" si="1"/>
        <v>Group</v>
      </c>
      <c r="H228" s="70" t="str">
        <f>IF('IO List'!E228="Input","Write","Read")</f>
        <v>Write</v>
      </c>
    </row>
    <row r="229" ht="14.25" customHeight="1">
      <c r="B229" s="33" t="str">
        <f>IF('IO List'!B229="IOs",CONCATENATE('IO List'!A229),"")</f>
        <v/>
      </c>
      <c r="C229" s="33" t="str">
        <f>IF('IO List'!B229="IOs",CONCATENATE("AT %",'IO List'!C229),"")</f>
        <v>AT %</v>
      </c>
      <c r="D229" s="33" t="str">
        <f>IF('IO List'!B229="IOs",CONCATENATE(": ",'IO List'!D229,";"),"")</f>
        <v>: BOOL;</v>
      </c>
      <c r="E229" s="33" t="str">
        <f>IF('IO List'!B229="IOs",CONCATENATE("// ",'IO List'!F229),"")</f>
        <v>// </v>
      </c>
      <c r="G229" s="70" t="str">
        <f t="shared" si="1"/>
        <v>Digital</v>
      </c>
      <c r="H229" s="70" t="str">
        <f>IF('IO List'!E229="Input","Write","Read")</f>
        <v>Read</v>
      </c>
    </row>
    <row r="230" ht="14.25" customHeight="1">
      <c r="B230" s="33" t="str">
        <f>IF('IO List'!B230="IOs",CONCATENATE('IO List'!A230),"")</f>
        <v/>
      </c>
      <c r="C230" s="33" t="str">
        <f>IF('IO List'!B230="IOs",CONCATENATE("AT %",'IO List'!C230),"")</f>
        <v>AT %</v>
      </c>
      <c r="D230" s="33" t="str">
        <f>IF('IO List'!B230="IOs",CONCATENATE(": ",'IO List'!D230,";"),"")</f>
        <v>: BOOL;</v>
      </c>
      <c r="E230" s="33" t="str">
        <f>IF('IO List'!B230="IOs",CONCATENATE("// ",'IO List'!F230),"")</f>
        <v>// </v>
      </c>
      <c r="G230" s="70" t="str">
        <f t="shared" si="1"/>
        <v>Digital</v>
      </c>
      <c r="H230" s="70" t="str">
        <f>IF('IO List'!E230="Input","Write","Read")</f>
        <v>Read</v>
      </c>
    </row>
    <row r="231" ht="14.25" customHeight="1">
      <c r="B231" s="33" t="str">
        <f>IF('IO List'!B231="IOs",CONCATENATE('IO List'!A231),"")</f>
        <v/>
      </c>
      <c r="C231" s="33" t="str">
        <f>IF('IO List'!B231="IOs",CONCATENATE("AT %",'IO List'!C231),"")</f>
        <v/>
      </c>
      <c r="D231" s="33" t="str">
        <f>IF('IO List'!B231="IOs",CONCATENATE(": ",'IO List'!D231,";"),"")</f>
        <v/>
      </c>
      <c r="E231" s="33" t="str">
        <f>IF('IO List'!B231="IOs",CONCATENATE("// ",'IO List'!F231),"")</f>
        <v/>
      </c>
      <c r="G231" s="70" t="str">
        <f t="shared" si="1"/>
        <v>Group</v>
      </c>
      <c r="H231" s="70" t="str">
        <f>IF('IO List'!E231="Input","Write","Read")</f>
        <v>Read</v>
      </c>
    </row>
    <row r="232" ht="14.25" customHeight="1">
      <c r="B232" s="33" t="str">
        <f>IF('IO List'!B232="IOs",CONCATENATE('IO List'!A232),"")</f>
        <v/>
      </c>
      <c r="C232" s="33" t="str">
        <f>IF('IO List'!B232="IOs",CONCATENATE("AT %",'IO List'!C232),"")</f>
        <v>AT %</v>
      </c>
      <c r="D232" s="33" t="str">
        <f>IF('IO List'!B232="IOs",CONCATENATE(": ",'IO List'!D232,";"),"")</f>
        <v>: BOOL;</v>
      </c>
      <c r="E232" s="33" t="str">
        <f>IF('IO List'!B232="IOs",CONCATENATE("// ",'IO List'!F232),"")</f>
        <v>// </v>
      </c>
      <c r="G232" s="70" t="str">
        <f t="shared" si="1"/>
        <v>Digital</v>
      </c>
      <c r="H232" s="70" t="str">
        <f>IF('IO List'!E232="Input","Write","Read")</f>
        <v>Read</v>
      </c>
    </row>
    <row r="233" ht="14.25" customHeight="1">
      <c r="B233" s="33" t="str">
        <f>IF('IO List'!B233="IOs",CONCATENATE('IO List'!A233),"")</f>
        <v/>
      </c>
      <c r="C233" s="33" t="str">
        <f>IF('IO List'!B233="IOs",CONCATENATE("AT %",'IO List'!C233),"")</f>
        <v>AT %</v>
      </c>
      <c r="D233" s="33" t="str">
        <f>IF('IO List'!B233="IOs",CONCATENATE(": ",'IO List'!D233,";"),"")</f>
        <v>: BOOL;</v>
      </c>
      <c r="E233" s="33" t="str">
        <f>IF('IO List'!B233="IOs",CONCATENATE("// ",'IO List'!F233),"")</f>
        <v>// </v>
      </c>
      <c r="G233" s="70" t="str">
        <f t="shared" si="1"/>
        <v>Digital</v>
      </c>
      <c r="H233" s="70" t="str">
        <f>IF('IO List'!E233="Input","Write","Read")</f>
        <v>Read</v>
      </c>
    </row>
    <row r="234" ht="14.25" customHeight="1">
      <c r="B234" s="33" t="str">
        <f>IF('IO List'!B234="IOs",CONCATENATE('IO List'!A234),"")</f>
        <v/>
      </c>
      <c r="C234" s="33" t="str">
        <f>IF('IO List'!B234="IOs",CONCATENATE("AT %",'IO List'!C234),"")</f>
        <v/>
      </c>
      <c r="D234" s="33" t="str">
        <f>IF('IO List'!B234="IOs",CONCATENATE(": ",'IO List'!D234,";"),"")</f>
        <v/>
      </c>
      <c r="E234" s="33" t="str">
        <f>IF('IO List'!B234="IOs",CONCATENATE("// ",'IO List'!F234),"")</f>
        <v/>
      </c>
      <c r="G234" s="70" t="str">
        <f t="shared" si="1"/>
        <v>Group</v>
      </c>
      <c r="H234" s="70" t="str">
        <f>IF('IO List'!E234="Input","Write","Read")</f>
        <v>Read</v>
      </c>
    </row>
    <row r="235" ht="14.25" customHeight="1">
      <c r="B235" s="33" t="str">
        <f>IF('IO List'!B235="IOs",CONCATENATE('IO List'!A235),"")</f>
        <v/>
      </c>
      <c r="C235" s="33" t="str">
        <f>IF('IO List'!B235="IOs",CONCATENATE("AT %",'IO List'!C235),"")</f>
        <v/>
      </c>
      <c r="D235" s="33" t="str">
        <f>IF('IO List'!B235="IOs",CONCATENATE(": ",'IO List'!D235,";"),"")</f>
        <v/>
      </c>
      <c r="E235" s="33" t="str">
        <f>IF('IO List'!B235="IOs",CONCATENATE("// ",'IO List'!F235),"")</f>
        <v/>
      </c>
      <c r="G235" s="70" t="str">
        <f t="shared" si="1"/>
        <v>Group</v>
      </c>
      <c r="H235" s="70" t="str">
        <f>IF('IO List'!E235="Input","Write","Read")</f>
        <v>Read</v>
      </c>
    </row>
    <row r="236" ht="14.25" customHeight="1">
      <c r="B236" s="33" t="str">
        <f>IF('IO List'!B236="IOs",CONCATENATE('IO List'!A236),"")</f>
        <v/>
      </c>
      <c r="C236" s="33" t="str">
        <f>IF('IO List'!B236="IOs",CONCATENATE("AT %",'IO List'!C236),"")</f>
        <v/>
      </c>
      <c r="D236" s="33" t="str">
        <f>IF('IO List'!B236="IOs",CONCATENATE(": ",'IO List'!D236,";"),"")</f>
        <v/>
      </c>
      <c r="E236" s="33" t="str">
        <f>IF('IO List'!B236="IOs",CONCATENATE("// ",'IO List'!F236),"")</f>
        <v/>
      </c>
      <c r="G236" s="70" t="str">
        <f t="shared" si="1"/>
        <v>Group</v>
      </c>
      <c r="H236" s="70" t="str">
        <f>IF('IO List'!E236="Input","Write","Read")</f>
        <v>Read</v>
      </c>
    </row>
    <row r="237" ht="14.25" customHeight="1">
      <c r="B237" s="33" t="str">
        <f>IF('IO List'!B237="IOs",CONCATENATE('IO List'!A237),"")</f>
        <v/>
      </c>
      <c r="C237" s="33" t="str">
        <f>IF('IO List'!B237="IOs",CONCATENATE("AT %",'IO List'!C237),"")</f>
        <v/>
      </c>
      <c r="D237" s="33" t="str">
        <f>IF('IO List'!B237="IOs",CONCATENATE(": ",'IO List'!D237,";"),"")</f>
        <v/>
      </c>
      <c r="E237" s="33" t="str">
        <f>IF('IO List'!B237="IOs",CONCATENATE("// ",'IO List'!F237),"")</f>
        <v/>
      </c>
      <c r="G237" s="70" t="str">
        <f t="shared" si="1"/>
        <v>Group</v>
      </c>
      <c r="H237" s="70" t="str">
        <f>IF('IO List'!E237="Input","Write","Read")</f>
        <v>Read</v>
      </c>
    </row>
    <row r="238" ht="14.25" customHeight="1">
      <c r="B238" s="33" t="str">
        <f>IF('IO List'!B238="IOs",CONCATENATE('IO List'!A238),"")</f>
        <v/>
      </c>
      <c r="C238" s="33" t="str">
        <f>IF('IO List'!B238="IOs",CONCATENATE("AT %",'IO List'!C238),"")</f>
        <v/>
      </c>
      <c r="D238" s="33" t="str">
        <f>IF('IO List'!B238="IOs",CONCATENATE(": ",'IO List'!D238,";"),"")</f>
        <v/>
      </c>
      <c r="E238" s="33" t="str">
        <f>IF('IO List'!B238="IOs",CONCATENATE("// ",'IO List'!F238),"")</f>
        <v/>
      </c>
      <c r="G238" s="70" t="str">
        <f t="shared" si="1"/>
        <v>Group</v>
      </c>
      <c r="H238" s="70" t="str">
        <f>IF('IO List'!E238="Input","Write","Read")</f>
        <v>Read</v>
      </c>
    </row>
    <row r="239" ht="14.25" customHeight="1">
      <c r="B239" s="33" t="str">
        <f>IF('IO List'!B239="IOs",CONCATENATE('IO List'!A239),"")</f>
        <v/>
      </c>
      <c r="C239" s="33" t="str">
        <f>IF('IO List'!B239="IOs",CONCATENATE("AT %",'IO List'!C239),"")</f>
        <v/>
      </c>
      <c r="D239" s="33" t="str">
        <f>IF('IO List'!B239="IOs",CONCATENATE(": ",'IO List'!D239,";"),"")</f>
        <v/>
      </c>
      <c r="E239" s="33" t="str">
        <f>IF('IO List'!B239="IOs",CONCATENATE("// ",'IO List'!F239),"")</f>
        <v/>
      </c>
      <c r="G239" s="70" t="str">
        <f t="shared" si="1"/>
        <v>Group</v>
      </c>
      <c r="H239" s="70" t="str">
        <f>IF('IO List'!E239="Input","Write","Read")</f>
        <v>Read</v>
      </c>
    </row>
    <row r="240" ht="14.25" customHeight="1">
      <c r="B240" s="33" t="str">
        <f>IF('IO List'!B240="IOs",CONCATENATE('IO List'!A240),"")</f>
        <v/>
      </c>
      <c r="C240" s="33" t="str">
        <f>IF('IO List'!B240="IOs",CONCATENATE("AT %",'IO List'!C240),"")</f>
        <v/>
      </c>
      <c r="D240" s="33" t="str">
        <f>IF('IO List'!B240="IOs",CONCATENATE(": ",'IO List'!D240,";"),"")</f>
        <v/>
      </c>
      <c r="E240" s="33" t="str">
        <f>IF('IO List'!B240="IOs",CONCATENATE("// ",'IO List'!F240),"")</f>
        <v/>
      </c>
      <c r="G240" s="70" t="str">
        <f t="shared" si="1"/>
        <v>Group</v>
      </c>
      <c r="H240" s="70" t="str">
        <f>IF('IO List'!E240="Input","Write","Read")</f>
        <v>Read</v>
      </c>
    </row>
    <row r="241" ht="14.25" customHeight="1">
      <c r="B241" s="33" t="str">
        <f>IF('IO List'!B241="IOs",CONCATENATE('IO List'!A241),"")</f>
        <v/>
      </c>
      <c r="C241" s="33" t="str">
        <f>IF('IO List'!B241="IOs",CONCATENATE("AT %",'IO List'!C241),"")</f>
        <v/>
      </c>
      <c r="D241" s="33" t="str">
        <f>IF('IO List'!B241="IOs",CONCATENATE(": ",'IO List'!D241,";"),"")</f>
        <v/>
      </c>
      <c r="E241" s="33" t="str">
        <f>IF('IO List'!B241="IOs",CONCATENATE("// ",'IO List'!F241),"")</f>
        <v/>
      </c>
      <c r="G241" s="70" t="str">
        <f t="shared" si="1"/>
        <v>Group</v>
      </c>
      <c r="H241" s="70" t="str">
        <f>IF('IO List'!E241="Input","Write","Read")</f>
        <v>Read</v>
      </c>
    </row>
    <row r="242" ht="14.25" customHeight="1">
      <c r="B242" s="33" t="str">
        <f>IF('IO List'!B242="IOs",CONCATENATE('IO List'!A242),"")</f>
        <v/>
      </c>
      <c r="C242" s="33" t="str">
        <f>IF('IO List'!B242="IOs",CONCATENATE("AT %",'IO List'!C242),"")</f>
        <v/>
      </c>
      <c r="D242" s="33" t="str">
        <f>IF('IO List'!B242="IOs",CONCATENATE(": ",'IO List'!D242,";"),"")</f>
        <v/>
      </c>
      <c r="E242" s="33" t="str">
        <f>IF('IO List'!B242="IOs",CONCATENATE("// ",'IO List'!F242),"")</f>
        <v/>
      </c>
      <c r="G242" s="70" t="str">
        <f t="shared" si="1"/>
        <v>Group</v>
      </c>
      <c r="H242" s="70" t="str">
        <f>IF('IO List'!E242="Input","Write","Read")</f>
        <v>Read</v>
      </c>
    </row>
    <row r="243" ht="14.25" customHeight="1">
      <c r="B243" s="33" t="str">
        <f>IF('IO List'!B243="IOs",CONCATENATE('IO List'!A243),"")</f>
        <v/>
      </c>
      <c r="C243" s="33" t="str">
        <f>IF('IO List'!B243="IOs",CONCATENATE("AT %",'IO List'!C243),"")</f>
        <v/>
      </c>
      <c r="D243" s="33" t="str">
        <f>IF('IO List'!B243="IOs",CONCATENATE(": ",'IO List'!D243,";"),"")</f>
        <v/>
      </c>
      <c r="E243" s="33" t="str">
        <f>IF('IO List'!B243="IOs",CONCATENATE("// ",'IO List'!F243),"")</f>
        <v/>
      </c>
      <c r="G243" s="70" t="str">
        <f t="shared" si="1"/>
        <v>Group</v>
      </c>
      <c r="H243" s="70" t="str">
        <f>IF('IO List'!E243="Input","Write","Read")</f>
        <v>Read</v>
      </c>
    </row>
    <row r="244" ht="14.25" customHeight="1">
      <c r="B244" s="33" t="str">
        <f>IF('IO List'!B244="IOs",CONCATENATE('IO List'!A244),"")</f>
        <v/>
      </c>
      <c r="C244" s="33" t="str">
        <f>IF('IO List'!B244="IOs",CONCATENATE("AT %",'IO List'!C244),"")</f>
        <v/>
      </c>
      <c r="D244" s="33" t="str">
        <f>IF('IO List'!B244="IOs",CONCATENATE(": ",'IO List'!D244,";"),"")</f>
        <v/>
      </c>
      <c r="E244" s="33" t="str">
        <f>IF('IO List'!B244="IOs",CONCATENATE("// ",'IO List'!F244),"")</f>
        <v/>
      </c>
      <c r="G244" s="70" t="str">
        <f t="shared" si="1"/>
        <v>Group</v>
      </c>
      <c r="H244" s="70" t="str">
        <f>IF('IO List'!E244="Input","Write","Read")</f>
        <v>Read</v>
      </c>
    </row>
    <row r="245" ht="14.25" customHeight="1">
      <c r="B245" s="33" t="str">
        <f>IF('IO List'!B245="IOs",CONCATENATE('IO List'!A245),"")</f>
        <v/>
      </c>
      <c r="C245" s="33" t="str">
        <f>IF('IO List'!B245="IOs",CONCATENATE("AT %",'IO List'!C245),"")</f>
        <v/>
      </c>
      <c r="D245" s="33" t="str">
        <f>IF('IO List'!B245="IOs",CONCATENATE(": ",'IO List'!D245,";"),"")</f>
        <v/>
      </c>
      <c r="E245" s="33" t="str">
        <f>IF('IO List'!B245="IOs",CONCATENATE("// ",'IO List'!F245),"")</f>
        <v/>
      </c>
      <c r="G245" s="70" t="str">
        <f t="shared" si="1"/>
        <v>Group</v>
      </c>
      <c r="H245" s="70" t="str">
        <f>IF('IO List'!E245="Input","Write","Read")</f>
        <v>Read</v>
      </c>
    </row>
    <row r="246" ht="14.25" customHeight="1">
      <c r="B246" s="33" t="str">
        <f>IF('IO List'!B246="IOs",CONCATENATE('IO List'!A246),"")</f>
        <v/>
      </c>
      <c r="C246" s="33" t="str">
        <f>IF('IO List'!B246="IOs",CONCATENATE("AT %",'IO List'!C246),"")</f>
        <v/>
      </c>
      <c r="D246" s="33" t="str">
        <f>IF('IO List'!B246="IOs",CONCATENATE(": ",'IO List'!D246,";"),"")</f>
        <v/>
      </c>
      <c r="E246" s="33" t="str">
        <f>IF('IO List'!B246="IOs",CONCATENATE("// ",'IO List'!F246),"")</f>
        <v/>
      </c>
      <c r="G246" s="70" t="str">
        <f t="shared" si="1"/>
        <v>Group</v>
      </c>
      <c r="H246" s="70" t="str">
        <f>IF('IO List'!E246="Input","Write","Read")</f>
        <v>Read</v>
      </c>
    </row>
    <row r="247" ht="14.25" customHeight="1">
      <c r="B247" s="33" t="str">
        <f>IF('IO List'!B247="IOs",CONCATENATE('IO List'!A247),"")</f>
        <v/>
      </c>
      <c r="C247" s="33" t="str">
        <f>IF('IO List'!B247="IOs",CONCATENATE("AT %",'IO List'!C247),"")</f>
        <v/>
      </c>
      <c r="D247" s="33" t="str">
        <f>IF('IO List'!B247="IOs",CONCATENATE(": ",'IO List'!D247,";"),"")</f>
        <v/>
      </c>
      <c r="E247" s="33" t="str">
        <f>IF('IO List'!B247="IOs",CONCATENATE("// ",'IO List'!F247),"")</f>
        <v/>
      </c>
      <c r="G247" s="70" t="str">
        <f t="shared" si="1"/>
        <v>Group</v>
      </c>
      <c r="H247" s="70" t="str">
        <f>IF('IO List'!E247="Input","Write","Read")</f>
        <v>Read</v>
      </c>
    </row>
    <row r="248" ht="14.25" customHeight="1">
      <c r="B248" s="33" t="str">
        <f>IF('IO List'!B248="IOs",CONCATENATE('IO List'!A248),"")</f>
        <v/>
      </c>
      <c r="C248" s="33" t="str">
        <f>IF('IO List'!B248="IOs",CONCATENATE("AT %",'IO List'!C248),"")</f>
        <v/>
      </c>
      <c r="D248" s="33" t="str">
        <f>IF('IO List'!B248="IOs",CONCATENATE(": ",'IO List'!D248,";"),"")</f>
        <v/>
      </c>
      <c r="E248" s="33" t="str">
        <f>IF('IO List'!B248="IOs",CONCATENATE("// ",'IO List'!F248),"")</f>
        <v/>
      </c>
      <c r="G248" s="70" t="str">
        <f t="shared" si="1"/>
        <v>Group</v>
      </c>
      <c r="H248" s="70" t="str">
        <f>IF('IO List'!E248="Input","Write","Read")</f>
        <v>Read</v>
      </c>
    </row>
    <row r="249" ht="14.25" customHeight="1">
      <c r="B249" s="33" t="str">
        <f>IF('IO List'!B249="IOs",CONCATENATE('IO List'!A249),"")</f>
        <v/>
      </c>
      <c r="C249" s="33" t="str">
        <f>IF('IO List'!B249="IOs",CONCATENATE("AT %",'IO List'!C249),"")</f>
        <v/>
      </c>
      <c r="D249" s="33" t="str">
        <f>IF('IO List'!B249="IOs",CONCATENATE(": ",'IO List'!D249,";"),"")</f>
        <v/>
      </c>
      <c r="E249" s="33" t="str">
        <f>IF('IO List'!B249="IOs",CONCATENATE("// ",'IO List'!F249),"")</f>
        <v/>
      </c>
      <c r="G249" s="70" t="str">
        <f t="shared" si="1"/>
        <v>Group</v>
      </c>
      <c r="H249" s="70" t="str">
        <f>IF('IO List'!E249="Input","Write","Read")</f>
        <v>Read</v>
      </c>
    </row>
    <row r="250" ht="14.25" customHeight="1">
      <c r="B250" s="33" t="str">
        <f>IF('IO List'!B250="IOs",CONCATENATE('IO List'!A250),"")</f>
        <v/>
      </c>
      <c r="C250" s="33" t="str">
        <f>IF('IO List'!B250="IOs",CONCATENATE("AT %",'IO List'!C250),"")</f>
        <v/>
      </c>
      <c r="D250" s="33" t="str">
        <f>IF('IO List'!B250="IOs",CONCATENATE(": ",'IO List'!D250,";"),"")</f>
        <v/>
      </c>
      <c r="E250" s="33" t="str">
        <f>IF('IO List'!B250="IOs",CONCATENATE("// ",'IO List'!F250),"")</f>
        <v/>
      </c>
      <c r="G250" s="70" t="str">
        <f t="shared" si="1"/>
        <v>Group</v>
      </c>
      <c r="H250" s="70" t="str">
        <f>IF('IO List'!E250="Input","Write","Read")</f>
        <v>Read</v>
      </c>
    </row>
    <row r="251" ht="14.25" customHeight="1">
      <c r="B251" s="33" t="str">
        <f>IF('IO List'!B251="IOs",CONCATENATE('IO List'!A251),"")</f>
        <v/>
      </c>
      <c r="C251" s="33" t="str">
        <f>IF('IO List'!B251="IOs",CONCATENATE("AT %",'IO List'!C251),"")</f>
        <v/>
      </c>
      <c r="D251" s="33" t="str">
        <f>IF('IO List'!B251="IOs",CONCATENATE(": ",'IO List'!D251,";"),"")</f>
        <v/>
      </c>
      <c r="E251" s="33" t="str">
        <f>IF('IO List'!B251="IOs",CONCATENATE("// ",'IO List'!F251),"")</f>
        <v/>
      </c>
      <c r="G251" s="70" t="str">
        <f t="shared" si="1"/>
        <v>Group</v>
      </c>
      <c r="H251" s="70" t="str">
        <f>IF('IO List'!E251="Input","Write","Read")</f>
        <v>Read</v>
      </c>
    </row>
    <row r="252" ht="14.25" customHeight="1">
      <c r="B252" s="33" t="str">
        <f>IF('IO List'!B252="IOs",CONCATENATE('IO List'!A252),"")</f>
        <v/>
      </c>
      <c r="C252" s="33" t="str">
        <f>IF('IO List'!B252="IOs",CONCATENATE("AT %",'IO List'!C252),"")</f>
        <v/>
      </c>
      <c r="D252" s="33" t="str">
        <f>IF('IO List'!B252="IOs",CONCATENATE(": ",'IO List'!D252,";"),"")</f>
        <v/>
      </c>
      <c r="E252" s="33" t="str">
        <f>IF('IO List'!B252="IOs",CONCATENATE("// ",'IO List'!F252),"")</f>
        <v/>
      </c>
      <c r="G252" s="70" t="str">
        <f t="shared" si="1"/>
        <v>Group</v>
      </c>
      <c r="H252" s="70" t="str">
        <f>IF('IO List'!E252="Input","Write","Read")</f>
        <v>Read</v>
      </c>
    </row>
    <row r="253" ht="14.25" customHeight="1">
      <c r="B253" s="33" t="str">
        <f>IF('IO List'!B253="IOs",CONCATENATE('IO List'!A253),"")</f>
        <v/>
      </c>
      <c r="C253" s="33" t="str">
        <f>IF('IO List'!B253="IOs",CONCATENATE("AT %",'IO List'!C253),"")</f>
        <v/>
      </c>
      <c r="D253" s="33" t="str">
        <f>IF('IO List'!B253="IOs",CONCATENATE(": ",'IO List'!D253,";"),"")</f>
        <v/>
      </c>
      <c r="E253" s="33" t="str">
        <f>IF('IO List'!B253="IOs",CONCATENATE("// ",'IO List'!F253),"")</f>
        <v/>
      </c>
      <c r="G253" s="70" t="str">
        <f t="shared" si="1"/>
        <v>Group</v>
      </c>
      <c r="H253" s="70" t="str">
        <f>IF('IO List'!E253="Input","Write","Read")</f>
        <v>Read</v>
      </c>
    </row>
    <row r="254" ht="14.25" customHeight="1">
      <c r="B254" s="33" t="str">
        <f>IF('IO List'!B254="IOs",CONCATENATE('IO List'!A254),"")</f>
        <v/>
      </c>
      <c r="C254" s="33" t="str">
        <f>IF('IO List'!B254="IOs",CONCATENATE("AT %",'IO List'!C254),"")</f>
        <v/>
      </c>
      <c r="D254" s="33" t="str">
        <f>IF('IO List'!B254="IOs",CONCATENATE(": ",'IO List'!D254,";"),"")</f>
        <v/>
      </c>
      <c r="E254" s="33" t="str">
        <f>IF('IO List'!B254="IOs",CONCATENATE("// ",'IO List'!F254),"")</f>
        <v/>
      </c>
      <c r="G254" s="70" t="str">
        <f t="shared" si="1"/>
        <v>Group</v>
      </c>
      <c r="H254" s="70" t="str">
        <f>IF('IO List'!E254="Input","Write","Read")</f>
        <v>Read</v>
      </c>
    </row>
    <row r="255" ht="14.25" customHeight="1">
      <c r="B255" s="33" t="str">
        <f>IF('IO List'!B255="IOs",CONCATENATE('IO List'!A255),"")</f>
        <v/>
      </c>
      <c r="C255" s="33" t="str">
        <f>IF('IO List'!B255="IOs",CONCATENATE("AT %",'IO List'!C255),"")</f>
        <v/>
      </c>
      <c r="D255" s="33" t="str">
        <f>IF('IO List'!B255="IOs",CONCATENATE(": ",'IO List'!D255,";"),"")</f>
        <v/>
      </c>
      <c r="E255" s="33" t="str">
        <f>IF('IO List'!B255="IOs",CONCATENATE("// ",'IO List'!F255),"")</f>
        <v/>
      </c>
      <c r="G255" s="70" t="str">
        <f t="shared" si="1"/>
        <v>Group</v>
      </c>
      <c r="H255" s="70" t="str">
        <f>IF('IO List'!E255="Input","Write","Read")</f>
        <v>Read</v>
      </c>
    </row>
    <row r="256" ht="14.25" customHeight="1">
      <c r="B256" s="33" t="str">
        <f>IF('IO List'!B256="IOs",CONCATENATE('IO List'!A256),"")</f>
        <v/>
      </c>
      <c r="C256" s="33" t="str">
        <f>IF('IO List'!B256="IOs",CONCATENATE("AT %",'IO List'!C256),"")</f>
        <v/>
      </c>
      <c r="D256" s="33" t="str">
        <f>IF('IO List'!B256="IOs",CONCATENATE(": ",'IO List'!D256,";"),"")</f>
        <v/>
      </c>
      <c r="E256" s="33" t="str">
        <f>IF('IO List'!B256="IOs",CONCATENATE("// ",'IO List'!F256),"")</f>
        <v/>
      </c>
      <c r="G256" s="70" t="str">
        <f t="shared" si="1"/>
        <v>Group</v>
      </c>
      <c r="H256" s="70" t="str">
        <f>IF('IO List'!E256="Input","Write","Read")</f>
        <v>Read</v>
      </c>
    </row>
    <row r="257" ht="14.25" customHeight="1">
      <c r="B257" s="33" t="str">
        <f>IF('IO List'!B257="IOs",CONCATENATE('IO List'!A257),"")</f>
        <v/>
      </c>
      <c r="C257" s="33" t="str">
        <f>IF('IO List'!B257="IOs",CONCATENATE("AT %",'IO List'!C257),"")</f>
        <v/>
      </c>
      <c r="D257" s="33" t="str">
        <f>IF('IO List'!B257="IOs",CONCATENATE(": ",'IO List'!D257,";"),"")</f>
        <v/>
      </c>
      <c r="E257" s="33" t="str">
        <f>IF('IO List'!B257="IOs",CONCATENATE("// ",'IO List'!F257),"")</f>
        <v/>
      </c>
      <c r="G257" s="70" t="str">
        <f t="shared" si="1"/>
        <v>Group</v>
      </c>
      <c r="H257" s="70" t="str">
        <f>IF('IO List'!E257="Input","Write","Read")</f>
        <v>Read</v>
      </c>
    </row>
    <row r="258" ht="14.25" customHeight="1">
      <c r="B258" s="33" t="str">
        <f>IF('IO List'!B258="IOs",CONCATENATE('IO List'!A258),"")</f>
        <v/>
      </c>
      <c r="C258" s="33" t="str">
        <f>IF('IO List'!B258="IOs",CONCATENATE("AT %",'IO List'!C258),"")</f>
        <v/>
      </c>
      <c r="D258" s="33" t="str">
        <f>IF('IO List'!B258="IOs",CONCATENATE(": ",'IO List'!D258,";"),"")</f>
        <v/>
      </c>
      <c r="E258" s="33" t="str">
        <f>IF('IO List'!B258="IOs",CONCATENATE("// ",'IO List'!F258),"")</f>
        <v/>
      </c>
      <c r="G258" s="70" t="str">
        <f t="shared" si="1"/>
        <v>Group</v>
      </c>
      <c r="H258" s="70" t="str">
        <f>IF('IO List'!E258="Input","Write","Read")</f>
        <v>Read</v>
      </c>
    </row>
    <row r="259" ht="14.25" customHeight="1">
      <c r="B259" s="33" t="str">
        <f>IF('IO List'!B259="IOs",CONCATENATE('IO List'!A259),"")</f>
        <v/>
      </c>
      <c r="C259" s="33" t="str">
        <f>IF('IO List'!B259="IOs",CONCATENATE("AT %",'IO List'!C259),"")</f>
        <v/>
      </c>
      <c r="D259" s="33" t="str">
        <f>IF('IO List'!B259="IOs",CONCATENATE(": ",'IO List'!D259,";"),"")</f>
        <v/>
      </c>
      <c r="E259" s="33" t="str">
        <f>IF('IO List'!B259="IOs",CONCATENATE("// ",'IO List'!F259),"")</f>
        <v/>
      </c>
      <c r="G259" s="70" t="str">
        <f t="shared" si="1"/>
        <v>Group</v>
      </c>
      <c r="H259" s="70" t="str">
        <f>IF('IO List'!E259="Input","Write","Read")</f>
        <v>Read</v>
      </c>
    </row>
    <row r="260" ht="14.25" customHeight="1">
      <c r="B260" s="33" t="str">
        <f>IF('IO List'!B260="IOs",CONCATENATE('IO List'!A260),"")</f>
        <v/>
      </c>
      <c r="C260" s="33" t="str">
        <f>IF('IO List'!B260="IOs",CONCATENATE("AT %",'IO List'!C260),"")</f>
        <v/>
      </c>
      <c r="D260" s="33" t="str">
        <f>IF('IO List'!B260="IOs",CONCATENATE(": ",'IO List'!D260,";"),"")</f>
        <v/>
      </c>
      <c r="E260" s="33" t="str">
        <f>IF('IO List'!B260="IOs",CONCATENATE("// ",'IO List'!F260),"")</f>
        <v/>
      </c>
      <c r="G260" s="70" t="str">
        <f t="shared" si="1"/>
        <v>Group</v>
      </c>
      <c r="H260" s="70" t="str">
        <f>IF('IO List'!E260="Input","Write","Read")</f>
        <v>Read</v>
      </c>
    </row>
    <row r="261" ht="14.25" customHeight="1">
      <c r="B261" s="33" t="str">
        <f>IF('IO List'!B261="IOs",CONCATENATE('IO List'!A261),"")</f>
        <v/>
      </c>
      <c r="C261" s="33" t="str">
        <f>IF('IO List'!B261="IOs",CONCATENATE("AT %",'IO List'!C261),"")</f>
        <v/>
      </c>
      <c r="D261" s="33" t="str">
        <f>IF('IO List'!B261="IOs",CONCATENATE(": ",'IO List'!D261,";"),"")</f>
        <v/>
      </c>
      <c r="E261" s="33" t="str">
        <f>IF('IO List'!B261="IOs",CONCATENATE("// ",'IO List'!F261),"")</f>
        <v/>
      </c>
      <c r="G261" s="70" t="str">
        <f t="shared" si="1"/>
        <v>Group</v>
      </c>
      <c r="H261" s="70" t="str">
        <f>IF('IO List'!E261="Input","Write","Read")</f>
        <v>Read</v>
      </c>
    </row>
    <row r="262" ht="14.25" customHeight="1">
      <c r="B262" s="33" t="str">
        <f>IF('IO List'!B262="IOs",CONCATENATE('IO List'!A262),"")</f>
        <v/>
      </c>
      <c r="C262" s="33" t="str">
        <f>IF('IO List'!B262="IOs",CONCATENATE("AT %",'IO List'!C262),"")</f>
        <v/>
      </c>
      <c r="D262" s="33" t="str">
        <f>IF('IO List'!B262="IOs",CONCATENATE(": ",'IO List'!D262,";"),"")</f>
        <v/>
      </c>
      <c r="E262" s="33" t="str">
        <f>IF('IO List'!B262="IOs",CONCATENATE("// ",'IO List'!F262),"")</f>
        <v/>
      </c>
      <c r="G262" s="70" t="str">
        <f t="shared" si="1"/>
        <v>Group</v>
      </c>
      <c r="H262" s="70" t="str">
        <f>IF('IO List'!E262="Input","Write","Read")</f>
        <v>Read</v>
      </c>
    </row>
    <row r="263" ht="14.25" customHeight="1">
      <c r="B263" s="33" t="str">
        <f>IF('IO List'!B263="IOs",CONCATENATE('IO List'!A263),"")</f>
        <v/>
      </c>
      <c r="C263" s="33" t="str">
        <f>IF('IO List'!B263="IOs",CONCATENATE("AT %",'IO List'!C263),"")</f>
        <v/>
      </c>
      <c r="D263" s="33" t="str">
        <f>IF('IO List'!B263="IOs",CONCATENATE(": ",'IO List'!D263,";"),"")</f>
        <v/>
      </c>
      <c r="E263" s="33" t="str">
        <f>IF('IO List'!B263="IOs",CONCATENATE("// ",'IO List'!F263),"")</f>
        <v/>
      </c>
      <c r="G263" s="70" t="str">
        <f t="shared" si="1"/>
        <v>Group</v>
      </c>
      <c r="H263" s="70" t="str">
        <f>IF('IO List'!E263="Input","Write","Read")</f>
        <v>Read</v>
      </c>
    </row>
    <row r="264" ht="14.25" customHeight="1">
      <c r="B264" s="33" t="str">
        <f>IF('IO List'!B264="IOs",CONCATENATE('IO List'!A264),"")</f>
        <v/>
      </c>
      <c r="C264" s="33" t="str">
        <f>IF('IO List'!B264="IOs",CONCATENATE("AT %",'IO List'!C264),"")</f>
        <v/>
      </c>
      <c r="D264" s="33" t="str">
        <f>IF('IO List'!B264="IOs",CONCATENATE(": ",'IO List'!D264,";"),"")</f>
        <v/>
      </c>
      <c r="E264" s="33" t="str">
        <f>IF('IO List'!B264="IOs",CONCATENATE("// ",'IO List'!F264),"")</f>
        <v/>
      </c>
      <c r="G264" s="70" t="str">
        <f t="shared" si="1"/>
        <v>Group</v>
      </c>
      <c r="H264" s="70" t="str">
        <f>IF('IO List'!E264="Input","Write","Read")</f>
        <v>Read</v>
      </c>
    </row>
    <row r="265" ht="14.25" customHeight="1">
      <c r="B265" s="33" t="str">
        <f>IF('IO List'!B265="IOs",CONCATENATE('IO List'!A265),"")</f>
        <v/>
      </c>
      <c r="C265" s="33" t="str">
        <f>IF('IO List'!B265="IOs",CONCATENATE("AT %",'IO List'!C265),"")</f>
        <v/>
      </c>
      <c r="D265" s="33" t="str">
        <f>IF('IO List'!B265="IOs",CONCATENATE(": ",'IO List'!D265,";"),"")</f>
        <v/>
      </c>
      <c r="E265" s="33" t="str">
        <f>IF('IO List'!B265="IOs",CONCATENATE("// ",'IO List'!F265),"")</f>
        <v/>
      </c>
      <c r="G265" s="70" t="str">
        <f t="shared" si="1"/>
        <v>Group</v>
      </c>
      <c r="H265" s="70" t="str">
        <f>IF('IO List'!E265="Input","Write","Read")</f>
        <v>Read</v>
      </c>
    </row>
    <row r="266" ht="14.25" customHeight="1">
      <c r="B266" s="33" t="str">
        <f>IF('IO List'!B266="IOs",CONCATENATE('IO List'!A266),"")</f>
        <v/>
      </c>
      <c r="C266" s="33" t="str">
        <f>IF('IO List'!B266="IOs",CONCATENATE("AT %",'IO List'!C266),"")</f>
        <v/>
      </c>
      <c r="D266" s="33" t="str">
        <f>IF('IO List'!B266="IOs",CONCATENATE(": ",'IO List'!D266,";"),"")</f>
        <v/>
      </c>
      <c r="E266" s="33" t="str">
        <f>IF('IO List'!B266="IOs",CONCATENATE("// ",'IO List'!F266),"")</f>
        <v/>
      </c>
      <c r="G266" s="70" t="str">
        <f t="shared" si="1"/>
        <v>Group</v>
      </c>
      <c r="H266" s="70" t="str">
        <f>IF('IO List'!E266="Input","Write","Read")</f>
        <v>Read</v>
      </c>
    </row>
    <row r="267" ht="14.25" customHeight="1">
      <c r="B267" s="33" t="str">
        <f>IF('IO List'!B267="IOs",CONCATENATE('IO List'!A267),"")</f>
        <v/>
      </c>
      <c r="C267" s="33" t="str">
        <f>IF('IO List'!B267="IOs",CONCATENATE("AT %",'IO List'!C267),"")</f>
        <v/>
      </c>
      <c r="D267" s="33" t="str">
        <f>IF('IO List'!B267="IOs",CONCATENATE(": ",'IO List'!D267,";"),"")</f>
        <v/>
      </c>
      <c r="E267" s="33" t="str">
        <f>IF('IO List'!B267="IOs",CONCATENATE("// ",'IO List'!F267),"")</f>
        <v/>
      </c>
      <c r="G267" s="70" t="str">
        <f t="shared" si="1"/>
        <v>Group</v>
      </c>
      <c r="H267" s="70" t="str">
        <f>IF('IO List'!E267="Input","Write","Read")</f>
        <v>Read</v>
      </c>
    </row>
    <row r="268" ht="14.25" customHeight="1">
      <c r="B268" s="33" t="str">
        <f>IF('IO List'!B268="IOs",CONCATENATE('IO List'!A268),"")</f>
        <v/>
      </c>
      <c r="C268" s="33" t="str">
        <f>IF('IO List'!B268="IOs",CONCATENATE("AT %",'IO List'!C268),"")</f>
        <v/>
      </c>
      <c r="D268" s="33" t="str">
        <f>IF('IO List'!B268="IOs",CONCATENATE(": ",'IO List'!D268,";"),"")</f>
        <v/>
      </c>
      <c r="E268" s="33" t="str">
        <f>IF('IO List'!B268="IOs",CONCATENATE("// ",'IO List'!F268),"")</f>
        <v/>
      </c>
      <c r="G268" s="70" t="str">
        <f t="shared" si="1"/>
        <v>Group</v>
      </c>
      <c r="H268" s="70" t="str">
        <f>IF('IO List'!E268="Input","Write","Read")</f>
        <v>Read</v>
      </c>
    </row>
    <row r="269" ht="14.25" customHeight="1">
      <c r="B269" s="33" t="str">
        <f>IF('IO List'!B269="IOs",CONCATENATE('IO List'!A269),"")</f>
        <v/>
      </c>
      <c r="C269" s="33" t="str">
        <f>IF('IO List'!B269="IOs",CONCATENATE("AT %",'IO List'!C269),"")</f>
        <v/>
      </c>
      <c r="D269" s="33" t="str">
        <f>IF('IO List'!B269="IOs",CONCATENATE(": ",'IO List'!D269,";"),"")</f>
        <v/>
      </c>
      <c r="E269" s="33" t="str">
        <f>IF('IO List'!B269="IOs",CONCATENATE("// ",'IO List'!F269),"")</f>
        <v/>
      </c>
      <c r="G269" s="70" t="str">
        <f t="shared" si="1"/>
        <v>Group</v>
      </c>
      <c r="H269" s="70" t="str">
        <f>IF('IO List'!E269="Input","Write","Read")</f>
        <v>Read</v>
      </c>
    </row>
    <row r="270" ht="14.25" customHeight="1">
      <c r="B270" s="33" t="str">
        <f>IF('IO List'!B270="IOs",CONCATENATE('IO List'!A270),"")</f>
        <v/>
      </c>
      <c r="C270" s="33" t="str">
        <f>IF('IO List'!B270="IOs",CONCATENATE("AT %",'IO List'!C270),"")</f>
        <v/>
      </c>
      <c r="D270" s="33" t="str">
        <f>IF('IO List'!B270="IOs",CONCATENATE(": ",'IO List'!D270,";"),"")</f>
        <v/>
      </c>
      <c r="E270" s="33" t="str">
        <f>IF('IO List'!B270="IOs",CONCATENATE("// ",'IO List'!F270),"")</f>
        <v/>
      </c>
      <c r="G270" s="70" t="str">
        <f t="shared" si="1"/>
        <v>Group</v>
      </c>
      <c r="H270" s="70" t="str">
        <f>IF('IO List'!E270="Input","Write","Read")</f>
        <v>Read</v>
      </c>
    </row>
    <row r="271" ht="14.25" customHeight="1">
      <c r="B271" s="33" t="str">
        <f>IF('IO List'!B271="IOs",CONCATENATE('IO List'!A271),"")</f>
        <v/>
      </c>
      <c r="C271" s="33" t="str">
        <f>IF('IO List'!B271="IOs",CONCATENATE("AT %",'IO List'!C271),"")</f>
        <v/>
      </c>
      <c r="D271" s="33" t="str">
        <f>IF('IO List'!B271="IOs",CONCATENATE(": ",'IO List'!D271,";"),"")</f>
        <v/>
      </c>
      <c r="E271" s="33" t="str">
        <f>IF('IO List'!B271="IOs",CONCATENATE("// ",'IO List'!F271),"")</f>
        <v/>
      </c>
      <c r="G271" s="70" t="str">
        <f t="shared" si="1"/>
        <v>Group</v>
      </c>
      <c r="H271" s="70" t="str">
        <f>IF('IO List'!E271="Input","Write","Read")</f>
        <v>Read</v>
      </c>
    </row>
    <row r="272" ht="14.25" customHeight="1">
      <c r="B272" s="33" t="str">
        <f>IF('IO List'!B272="IOs",CONCATENATE('IO List'!A272),"")</f>
        <v/>
      </c>
      <c r="C272" s="33" t="str">
        <f>IF('IO List'!B272="IOs",CONCATENATE("AT %",'IO List'!C272),"")</f>
        <v/>
      </c>
      <c r="D272" s="33" t="str">
        <f>IF('IO List'!B272="IOs",CONCATENATE(": ",'IO List'!D272,";"),"")</f>
        <v/>
      </c>
      <c r="E272" s="33" t="str">
        <f>IF('IO List'!B272="IOs",CONCATENATE("// ",'IO List'!F272),"")</f>
        <v/>
      </c>
      <c r="G272" s="70" t="str">
        <f t="shared" si="1"/>
        <v>Group</v>
      </c>
      <c r="H272" s="70" t="str">
        <f>IF('IO List'!E272="Input","Write","Read")</f>
        <v>Read</v>
      </c>
    </row>
    <row r="273" ht="14.25" customHeight="1">
      <c r="B273" s="33" t="str">
        <f>IF('IO List'!B273="IOs",CONCATENATE('IO List'!A273),"")</f>
        <v/>
      </c>
      <c r="C273" s="33" t="str">
        <f>IF('IO List'!B273="IOs",CONCATENATE("AT %",'IO List'!C273),"")</f>
        <v/>
      </c>
      <c r="D273" s="33" t="str">
        <f>IF('IO List'!B273="IOs",CONCATENATE(": ",'IO List'!D273,";"),"")</f>
        <v/>
      </c>
      <c r="E273" s="33" t="str">
        <f>IF('IO List'!B273="IOs",CONCATENATE("// ",'IO List'!F273),"")</f>
        <v/>
      </c>
      <c r="G273" s="70" t="str">
        <f t="shared" si="1"/>
        <v>Group</v>
      </c>
      <c r="H273" s="70" t="str">
        <f>IF('IO List'!E273="Input","Write","Read")</f>
        <v>Read</v>
      </c>
    </row>
    <row r="274" ht="14.25" customHeight="1">
      <c r="B274" s="33" t="str">
        <f>IF('IO List'!B274="IOs",CONCATENATE('IO List'!A274),"")</f>
        <v/>
      </c>
      <c r="C274" s="33" t="str">
        <f>IF('IO List'!B274="IOs",CONCATENATE("AT %",'IO List'!C274),"")</f>
        <v/>
      </c>
      <c r="D274" s="33" t="str">
        <f>IF('IO List'!B274="IOs",CONCATENATE(": ",'IO List'!D274,";"),"")</f>
        <v/>
      </c>
      <c r="E274" s="33" t="str">
        <f>IF('IO List'!B274="IOs",CONCATENATE("// ",'IO List'!F274),"")</f>
        <v/>
      </c>
      <c r="G274" s="70" t="str">
        <f t="shared" si="1"/>
        <v>Group</v>
      </c>
      <c r="H274" s="70" t="str">
        <f>IF('IO List'!E274="Input","Write","Read")</f>
        <v>Read</v>
      </c>
    </row>
    <row r="275" ht="14.25" customHeight="1">
      <c r="B275" s="33" t="str">
        <f>IF('IO List'!B275="IOs",CONCATENATE('IO List'!A275),"")</f>
        <v/>
      </c>
      <c r="C275" s="33" t="str">
        <f>IF('IO List'!B275="IOs",CONCATENATE("AT %",'IO List'!C275),"")</f>
        <v/>
      </c>
      <c r="D275" s="33" t="str">
        <f>IF('IO List'!B275="IOs",CONCATENATE(": ",'IO List'!D275,";"),"")</f>
        <v/>
      </c>
      <c r="E275" s="33" t="str">
        <f>IF('IO List'!B275="IOs",CONCATENATE("// ",'IO List'!F275),"")</f>
        <v/>
      </c>
      <c r="G275" s="70" t="str">
        <f t="shared" si="1"/>
        <v>Group</v>
      </c>
      <c r="H275" s="70" t="str">
        <f>IF('IO List'!E275="Input","Write","Read")</f>
        <v>Read</v>
      </c>
    </row>
    <row r="276" ht="14.25" customHeight="1">
      <c r="B276" s="33" t="str">
        <f>IF('IO List'!B276="IOs",CONCATENATE('IO List'!A276),"")</f>
        <v/>
      </c>
      <c r="C276" s="33" t="str">
        <f>IF('IO List'!B276="IOs",CONCATENATE("AT %",'IO List'!C276),"")</f>
        <v/>
      </c>
      <c r="D276" s="33" t="str">
        <f>IF('IO List'!B276="IOs",CONCATENATE(": ",'IO List'!D276,";"),"")</f>
        <v/>
      </c>
      <c r="E276" s="33" t="str">
        <f>IF('IO List'!B276="IOs",CONCATENATE("// ",'IO List'!F276),"")</f>
        <v/>
      </c>
      <c r="G276" s="70" t="str">
        <f t="shared" si="1"/>
        <v>Group</v>
      </c>
      <c r="H276" s="70" t="str">
        <f>IF('IO List'!E276="Input","Write","Read")</f>
        <v>Read</v>
      </c>
    </row>
    <row r="277" ht="14.25" customHeight="1">
      <c r="B277" s="33" t="str">
        <f>IF('IO List'!B277="IOs",CONCATENATE('IO List'!A277),"")</f>
        <v/>
      </c>
      <c r="C277" s="33" t="str">
        <f>IF('IO List'!B277="IOs",CONCATENATE("AT %",'IO List'!C277),"")</f>
        <v/>
      </c>
      <c r="D277" s="33" t="str">
        <f>IF('IO List'!B277="IOs",CONCATENATE(": ",'IO List'!D277,";"),"")</f>
        <v/>
      </c>
      <c r="E277" s="33" t="str">
        <f>IF('IO List'!B277="IOs",CONCATENATE("// ",'IO List'!F277),"")</f>
        <v/>
      </c>
      <c r="G277" s="70" t="str">
        <f t="shared" si="1"/>
        <v>Group</v>
      </c>
      <c r="H277" s="70" t="str">
        <f>IF('IO List'!E277="Input","Write","Read")</f>
        <v>Read</v>
      </c>
    </row>
    <row r="278" ht="14.25" customHeight="1">
      <c r="B278" s="33" t="str">
        <f>IF('IO List'!B278="IOs",CONCATENATE('IO List'!A278),"")</f>
        <v/>
      </c>
      <c r="C278" s="33" t="str">
        <f>IF('IO List'!B278="IOs",CONCATENATE("AT %",'IO List'!C278),"")</f>
        <v/>
      </c>
      <c r="D278" s="33" t="str">
        <f>IF('IO List'!B278="IOs",CONCATENATE(": ",'IO List'!D278,";"),"")</f>
        <v/>
      </c>
      <c r="E278" s="33" t="str">
        <f>IF('IO List'!B278="IOs",CONCATENATE("// ",'IO List'!F278),"")</f>
        <v/>
      </c>
      <c r="G278" s="70" t="str">
        <f t="shared" si="1"/>
        <v>Group</v>
      </c>
      <c r="H278" s="70" t="str">
        <f>IF('IO List'!E278="Input","Write","Read")</f>
        <v>Read</v>
      </c>
    </row>
    <row r="279" ht="14.25" customHeight="1">
      <c r="B279" s="33" t="str">
        <f>IF('IO List'!B279="IOs",CONCATENATE('IO List'!A279),"")</f>
        <v/>
      </c>
      <c r="C279" s="33" t="str">
        <f>IF('IO List'!B279="IOs",CONCATENATE("AT %",'IO List'!C279),"")</f>
        <v/>
      </c>
      <c r="D279" s="33" t="str">
        <f>IF('IO List'!B279="IOs",CONCATENATE(": ",'IO List'!D279,";"),"")</f>
        <v/>
      </c>
      <c r="E279" s="33" t="str">
        <f>IF('IO List'!B279="IOs",CONCATENATE("// ",'IO List'!F279),"")</f>
        <v/>
      </c>
      <c r="G279" s="70" t="str">
        <f t="shared" si="1"/>
        <v>Group</v>
      </c>
      <c r="H279" s="70" t="str">
        <f>IF('IO List'!E279="Input","Write","Read")</f>
        <v>Read</v>
      </c>
    </row>
    <row r="280" ht="14.25" customHeight="1">
      <c r="B280" s="33" t="str">
        <f>IF('IO List'!B280="IOs",CONCATENATE('IO List'!A280),"")</f>
        <v/>
      </c>
      <c r="C280" s="33" t="str">
        <f>IF('IO List'!B280="IOs",CONCATENATE("AT %",'IO List'!C280),"")</f>
        <v/>
      </c>
      <c r="D280" s="33" t="str">
        <f>IF('IO List'!B280="IOs",CONCATENATE(": ",'IO List'!D280,";"),"")</f>
        <v/>
      </c>
      <c r="E280" s="33" t="str">
        <f>IF('IO List'!B280="IOs",CONCATENATE("// ",'IO List'!F280),"")</f>
        <v/>
      </c>
      <c r="G280" s="70" t="str">
        <f t="shared" si="1"/>
        <v>Group</v>
      </c>
      <c r="H280" s="70" t="str">
        <f>IF('IO List'!E280="Input","Write","Read")</f>
        <v>Read</v>
      </c>
    </row>
    <row r="281" ht="14.25" customHeight="1">
      <c r="B281" s="33" t="str">
        <f>IF('IO List'!B281="IOs",CONCATENATE('IO List'!A281),"")</f>
        <v/>
      </c>
      <c r="C281" s="33" t="str">
        <f>IF('IO List'!B281="IOs",CONCATENATE("AT %",'IO List'!C281),"")</f>
        <v/>
      </c>
      <c r="D281" s="33" t="str">
        <f>IF('IO List'!B281="IOs",CONCATENATE(": ",'IO List'!D281,";"),"")</f>
        <v/>
      </c>
      <c r="E281" s="33" t="str">
        <f>IF('IO List'!B281="IOs",CONCATENATE("// ",'IO List'!F281),"")</f>
        <v/>
      </c>
      <c r="G281" s="70" t="str">
        <f t="shared" si="1"/>
        <v>Group</v>
      </c>
      <c r="H281" s="70" t="str">
        <f>IF('IO List'!E281="Input","Write","Read")</f>
        <v>Read</v>
      </c>
    </row>
    <row r="282" ht="14.25" customHeight="1">
      <c r="B282" s="33" t="str">
        <f>IF('IO List'!B282="IOs",CONCATENATE('IO List'!A282),"")</f>
        <v/>
      </c>
      <c r="C282" s="33" t="str">
        <f>IF('IO List'!B282="IOs",CONCATENATE("AT %",'IO List'!C282),"")</f>
        <v/>
      </c>
      <c r="D282" s="33" t="str">
        <f>IF('IO List'!B282="IOs",CONCATENATE(": ",'IO List'!D282,";"),"")</f>
        <v/>
      </c>
      <c r="E282" s="33" t="str">
        <f>IF('IO List'!B282="IOs",CONCATENATE("// ",'IO List'!F282),"")</f>
        <v/>
      </c>
      <c r="G282" s="70" t="str">
        <f t="shared" si="1"/>
        <v>Group</v>
      </c>
      <c r="H282" s="70" t="str">
        <f>IF('IO List'!E282="Input","Write","Read")</f>
        <v>Read</v>
      </c>
    </row>
    <row r="283" ht="14.25" customHeight="1">
      <c r="B283" s="33" t="str">
        <f>IF('IO List'!B283="IOs",CONCATENATE('IO List'!A283),"")</f>
        <v/>
      </c>
      <c r="C283" s="33" t="str">
        <f>IF('IO List'!B283="IOs",CONCATENATE("AT %",'IO List'!C283),"")</f>
        <v/>
      </c>
      <c r="D283" s="33" t="str">
        <f>IF('IO List'!B283="IOs",CONCATENATE(": ",'IO List'!D283,";"),"")</f>
        <v/>
      </c>
      <c r="E283" s="33" t="str">
        <f>IF('IO List'!B283="IOs",CONCATENATE("// ",'IO List'!F283),"")</f>
        <v/>
      </c>
      <c r="G283" s="70" t="str">
        <f t="shared" si="1"/>
        <v>Group</v>
      </c>
      <c r="H283" s="70" t="str">
        <f>IF('IO List'!E283="Input","Write","Read")</f>
        <v>Read</v>
      </c>
    </row>
    <row r="284" ht="14.25" customHeight="1">
      <c r="B284" s="33" t="str">
        <f>IF('IO List'!B284="IOs",CONCATENATE('IO List'!A284),"")</f>
        <v/>
      </c>
      <c r="C284" s="33" t="str">
        <f>IF('IO List'!B284="IOs",CONCATENATE("AT %",'IO List'!C284),"")</f>
        <v/>
      </c>
      <c r="D284" s="33" t="str">
        <f>IF('IO List'!B284="IOs",CONCATENATE(": ",'IO List'!D284,";"),"")</f>
        <v/>
      </c>
      <c r="E284" s="33" t="str">
        <f>IF('IO List'!B284="IOs",CONCATENATE("// ",'IO List'!F284),"")</f>
        <v/>
      </c>
      <c r="G284" s="70" t="str">
        <f t="shared" si="1"/>
        <v>Group</v>
      </c>
      <c r="H284" s="70" t="str">
        <f>IF('IO List'!E284="Input","Write","Read")</f>
        <v>Read</v>
      </c>
    </row>
    <row r="285" ht="14.25" customHeight="1">
      <c r="B285" s="33" t="str">
        <f>IF('IO List'!B285="IOs",CONCATENATE('IO List'!A285),"")</f>
        <v/>
      </c>
      <c r="C285" s="33" t="str">
        <f>IF('IO List'!B285="IOs",CONCATENATE("AT %",'IO List'!C285),"")</f>
        <v/>
      </c>
      <c r="D285" s="33" t="str">
        <f>IF('IO List'!B285="IOs",CONCATENATE(": ",'IO List'!D285,";"),"")</f>
        <v/>
      </c>
      <c r="E285" s="33" t="str">
        <f>IF('IO List'!B285="IOs",CONCATENATE("// ",'IO List'!F285),"")</f>
        <v/>
      </c>
      <c r="G285" s="70" t="str">
        <f t="shared" si="1"/>
        <v>Group</v>
      </c>
      <c r="H285" s="70" t="str">
        <f>IF('IO List'!E285="Input","Write","Read")</f>
        <v>Read</v>
      </c>
    </row>
    <row r="286" ht="14.25" customHeight="1">
      <c r="B286" s="33" t="str">
        <f>IF('IO List'!B286="IOs",CONCATENATE('IO List'!A286),"")</f>
        <v/>
      </c>
      <c r="C286" s="33" t="str">
        <f>IF('IO List'!B286="IOs",CONCATENATE("AT %",'IO List'!C286),"")</f>
        <v/>
      </c>
      <c r="D286" s="33" t="str">
        <f>IF('IO List'!B286="IOs",CONCATENATE(": ",'IO List'!D286,";"),"")</f>
        <v/>
      </c>
      <c r="E286" s="33" t="str">
        <f>IF('IO List'!B286="IOs",CONCATENATE("// ",'IO List'!F286),"")</f>
        <v/>
      </c>
      <c r="G286" s="70" t="str">
        <f t="shared" si="1"/>
        <v>Group</v>
      </c>
      <c r="H286" s="70" t="str">
        <f>IF('IO List'!E286="Input","Write","Read")</f>
        <v>Read</v>
      </c>
    </row>
    <row r="287" ht="14.25" customHeight="1">
      <c r="B287" s="33" t="str">
        <f>IF('IO List'!B287="IOs",CONCATENATE('IO List'!A287),"")</f>
        <v/>
      </c>
      <c r="C287" s="33" t="str">
        <f>IF('IO List'!B287="IOs",CONCATENATE("AT %",'IO List'!C287),"")</f>
        <v/>
      </c>
      <c r="D287" s="33" t="str">
        <f>IF('IO List'!B287="IOs",CONCATENATE(": ",'IO List'!D287,";"),"")</f>
        <v/>
      </c>
      <c r="E287" s="33" t="str">
        <f>IF('IO List'!B287="IOs",CONCATENATE("// ",'IO List'!F287),"")</f>
        <v/>
      </c>
      <c r="G287" s="70" t="str">
        <f t="shared" si="1"/>
        <v>Group</v>
      </c>
      <c r="H287" s="70" t="str">
        <f>IF('IO List'!E287="Input","Write","Read")</f>
        <v>Read</v>
      </c>
    </row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7.29"/>
    <col customWidth="1" min="3" max="3" width="21.14"/>
    <col customWidth="1" min="4" max="4" width="12.43"/>
    <col customWidth="1" min="5" max="5" width="37.86"/>
    <col customWidth="1" min="6" max="26" width="8.71"/>
  </cols>
  <sheetData>
    <row r="1" ht="14.25" customHeight="1">
      <c r="A1" s="65" t="s">
        <v>515</v>
      </c>
    </row>
    <row r="2" ht="14.25" customHeight="1"/>
    <row r="3" ht="14.25" customHeight="1">
      <c r="B3" s="33" t="s">
        <v>513</v>
      </c>
      <c r="C3" s="33" t="s">
        <v>9</v>
      </c>
      <c r="D3" s="33" t="s">
        <v>10</v>
      </c>
      <c r="E3" s="33" t="s">
        <v>12</v>
      </c>
    </row>
    <row r="4" ht="14.25" customHeight="1">
      <c r="B4" s="33" t="str">
        <f>IF('IO List'!B4="GVL",CONCATENATE('IO List'!A4),"")</f>
        <v/>
      </c>
      <c r="C4" s="33" t="str">
        <f>IF('IO List'!B4="GVL",CONCATENATE("AT %",'IO List'!C4),"")</f>
        <v/>
      </c>
      <c r="D4" s="33" t="str">
        <f>IF('IO List'!B4="GVL",CONCATENATE(": ",'IO List'!D4,";"),"")</f>
        <v/>
      </c>
      <c r="E4" s="33" t="str">
        <f>IF('IO List'!B4="GVL",CONCATENATE("// ",'IO List'!F4),"")</f>
        <v/>
      </c>
    </row>
    <row r="5" ht="14.25" customHeight="1">
      <c r="B5" s="33" t="str">
        <f>IF('IO List'!B5="GVL",CONCATENATE('IO List'!A5),"")</f>
        <v/>
      </c>
      <c r="C5" s="33" t="str">
        <f>IF('IO List'!B5="GVL",CONCATENATE("AT %",'IO List'!C5),"")</f>
        <v/>
      </c>
      <c r="D5" s="33" t="str">
        <f>IF('IO List'!B5="GVL",CONCATENATE(": ",'IO List'!D5,";"),"")</f>
        <v/>
      </c>
      <c r="E5" s="33" t="str">
        <f>IF('IO List'!B5="GVL",CONCATENATE("// ",'IO List'!F5),"")</f>
        <v/>
      </c>
    </row>
    <row r="6" ht="14.25" customHeight="1">
      <c r="B6" s="33" t="str">
        <f>IF('IO List'!B6="GVL",CONCATENATE('IO List'!A6),"")</f>
        <v>SOP700_S2</v>
      </c>
      <c r="C6" s="33" t="str">
        <f>IF('IO List'!B6="GVL",CONCATENATE("AT %",'IO List'!C6),"")</f>
        <v>AT %MX0.1</v>
      </c>
      <c r="D6" s="33" t="str">
        <f>IF('IO List'!B6="GVL",CONCATENATE(": ",'IO List'!D6,";"),"")</f>
        <v>: BOOL;</v>
      </c>
      <c r="E6" s="33" t="str">
        <f>IF('IO List'!B6="GVL",CONCATENATE("// ",'IO List'!F6),"")</f>
        <v>// Control Voltage Off (NC)</v>
      </c>
    </row>
    <row r="7" ht="14.25" customHeight="1">
      <c r="B7" s="33" t="str">
        <f>IF('IO List'!B7="GVL",CONCATENATE('IO List'!A7),"")</f>
        <v>SOP700_S3</v>
      </c>
      <c r="C7" s="33" t="str">
        <f>IF('IO List'!B7="GVL",CONCATENATE("AT %",'IO List'!C7),"")</f>
        <v>AT %MX0.2</v>
      </c>
      <c r="D7" s="33" t="str">
        <f>IF('IO List'!B7="GVL",CONCATENATE(": ",'IO List'!D7,";"),"")</f>
        <v>: BOOL;</v>
      </c>
      <c r="E7" s="33" t="str">
        <f>IF('IO List'!B7="GVL",CONCATENATE("// ",'IO List'!F7),"")</f>
        <v>// Manual/Auto. True=Automatic.  False=Manual</v>
      </c>
    </row>
    <row r="8" ht="14.25" customHeight="1">
      <c r="B8" s="33" t="str">
        <f>IF('IO List'!B8="GVL",CONCATENATE('IO List'!A8),"")</f>
        <v/>
      </c>
      <c r="C8" s="33" t="str">
        <f>IF('IO List'!B8="GVL",CONCATENATE("AT %",'IO List'!C8),"")</f>
        <v/>
      </c>
      <c r="D8" s="33" t="str">
        <f>IF('IO List'!B8="GVL",CONCATENATE(": ",'IO List'!D8,";"),"")</f>
        <v/>
      </c>
      <c r="E8" s="33" t="str">
        <f>IF('IO List'!B8="GVL",CONCATENATE("// ",'IO List'!F8),"")</f>
        <v/>
      </c>
    </row>
    <row r="9" ht="14.25" customHeight="1">
      <c r="B9" s="33" t="str">
        <f>IF('IO List'!B9="GVL",CONCATENATE('IO List'!A9),"")</f>
        <v>SOP700_S5</v>
      </c>
      <c r="C9" s="33" t="str">
        <f>IF('IO List'!B9="GVL",CONCATENATE("AT %",'IO List'!C9),"")</f>
        <v>AT %MX0.4</v>
      </c>
      <c r="D9" s="33" t="str">
        <f>IF('IO List'!B9="GVL",CONCATENATE(": ",'IO List'!D9,";"),"")</f>
        <v>: BOOL;</v>
      </c>
      <c r="E9" s="33" t="str">
        <f>IF('IO List'!B9="GVL",CONCATENATE("// ",'IO List'!F9),"")</f>
        <v>// Cycle Start</v>
      </c>
    </row>
    <row r="10" ht="14.25" customHeight="1">
      <c r="B10" s="33" t="str">
        <f>IF('IO List'!B10="GVL",CONCATENATE('IO List'!A10),"")</f>
        <v>SOP700_S6</v>
      </c>
      <c r="C10" s="33" t="str">
        <f>IF('IO List'!B10="GVL",CONCATENATE("AT %",'IO List'!C10),"")</f>
        <v>AT %MX0.5</v>
      </c>
      <c r="D10" s="33" t="str">
        <f>IF('IO List'!B10="GVL",CONCATENATE(": ",'IO List'!D10,";"),"")</f>
        <v>: BOOL;</v>
      </c>
      <c r="E10" s="33" t="str">
        <f>IF('IO List'!B10="GVL",CONCATENATE("// ",'IO List'!F10),"")</f>
        <v>// Cycle Stop</v>
      </c>
    </row>
    <row r="11" ht="14.25" customHeight="1">
      <c r="B11" s="33" t="str">
        <f>IF('IO List'!B11="GVL",CONCATENATE('IO List'!A11),"")</f>
        <v>SOP700_S11</v>
      </c>
      <c r="C11" s="33" t="str">
        <f>IF('IO List'!B11="GVL",CONCATENATE("AT %",'IO List'!C11),"")</f>
        <v>AT %MX0.6</v>
      </c>
      <c r="D11" s="33" t="str">
        <f>IF('IO List'!B11="GVL",CONCATENATE(": ",'IO List'!D11,";"),"")</f>
        <v>: BOOL;</v>
      </c>
      <c r="E11" s="33" t="str">
        <f>IF('IO List'!B11="GVL",CONCATENATE("// ",'IO List'!F11),"")</f>
        <v>// Entry Request </v>
      </c>
    </row>
    <row r="12" ht="14.25" customHeight="1">
      <c r="B12" s="33" t="str">
        <f>IF('IO List'!B12="GVL",CONCATENATE('IO List'!A12),"")</f>
        <v>SOP700_S8</v>
      </c>
      <c r="C12" s="33" t="str">
        <f>IF('IO List'!B12="GVL",CONCATENATE("AT %",'IO List'!C12),"")</f>
        <v>AT %MX0.7</v>
      </c>
      <c r="D12" s="33" t="str">
        <f>IF('IO List'!B12="GVL",CONCATENATE(": ",'IO List'!D12,";"),"")</f>
        <v>: BOOL;</v>
      </c>
      <c r="E12" s="33" t="str">
        <f>IF('IO List'!B12="GVL",CONCATENATE("// ",'IO List'!F12),"")</f>
        <v>// Reset Alarm</v>
      </c>
    </row>
    <row r="13" ht="14.25" customHeight="1">
      <c r="B13" s="33" t="str">
        <f>IF('IO List'!B13="GVL",CONCATENATE('IO List'!A13),"")</f>
        <v/>
      </c>
      <c r="C13" s="33" t="str">
        <f>IF('IO List'!B13="GVL",CONCATENATE("AT %",'IO List'!C13),"")</f>
        <v/>
      </c>
      <c r="D13" s="33" t="str">
        <f>IF('IO List'!B13="GVL",CONCATENATE(": ",'IO List'!D13,";"),"")</f>
        <v/>
      </c>
      <c r="E13" s="33" t="str">
        <f>IF('IO List'!B13="GVL",CONCATENATE("// ",'IO List'!F13),"")</f>
        <v/>
      </c>
    </row>
    <row r="14" ht="14.25" customHeight="1">
      <c r="B14" s="33" t="str">
        <f>IF('IO List'!B14="GVL",CONCATENATE('IO List'!A14),"")</f>
        <v>SOP700_S7</v>
      </c>
      <c r="C14" s="33" t="str">
        <f>IF('IO List'!B14="GVL",CONCATENATE("AT %",'IO List'!C14),"")</f>
        <v>AT %MX1.1</v>
      </c>
      <c r="D14" s="33" t="str">
        <f>IF('IO List'!B14="GVL",CONCATENATE(": ",'IO List'!D14,";"),"")</f>
        <v>: BOOL;</v>
      </c>
      <c r="E14" s="33" t="str">
        <f>IF('IO List'!B14="GVL",CONCATENATE("// ",'IO List'!F14),"")</f>
        <v>// Halt (NC)</v>
      </c>
    </row>
    <row r="15" ht="14.25" customHeight="1">
      <c r="B15" s="33" t="str">
        <f>IF('IO List'!B15="GVL",CONCATENATE('IO List'!A15),"")</f>
        <v/>
      </c>
      <c r="C15" s="33" t="str">
        <f>IF('IO List'!B15="GVL",CONCATENATE("AT %",'IO List'!C15),"")</f>
        <v/>
      </c>
      <c r="D15" s="33" t="str">
        <f>IF('IO List'!B15="GVL",CONCATENATE(": ",'IO List'!D15,";"),"")</f>
        <v/>
      </c>
      <c r="E15" s="33" t="str">
        <f>IF('IO List'!B15="GVL",CONCATENATE("// ",'IO List'!F15),"")</f>
        <v/>
      </c>
    </row>
    <row r="16" ht="14.25" customHeight="1">
      <c r="B16" s="33" t="str">
        <f>IF('IO List'!B16="GVL",CONCATENATE('IO List'!A16),"")</f>
        <v>SOP750_NS1</v>
      </c>
      <c r="C16" s="33" t="str">
        <f>IF('IO List'!B16="GVL",CONCATENATE("AT %",'IO List'!C16),"")</f>
        <v>AT %MX1.3</v>
      </c>
      <c r="D16" s="33" t="str">
        <f>IF('IO List'!B16="GVL",CONCATENATE(": ",'IO List'!D16,";"),"")</f>
        <v>: BOOL;</v>
      </c>
      <c r="E16" s="33" t="str">
        <f>IF('IO List'!B16="GVL",CONCATENATE("// ",'IO List'!F16),"")</f>
        <v>// Emergency Stop (NC)</v>
      </c>
    </row>
    <row r="17" ht="14.25" customHeight="1">
      <c r="B17" s="33" t="str">
        <f>IF('IO List'!B17="GVL",CONCATENATE('IO List'!A17),"")</f>
        <v/>
      </c>
      <c r="C17" s="33" t="str">
        <f>IF('IO List'!B17="GVL",CONCATENATE("AT %",'IO List'!C17),"")</f>
        <v/>
      </c>
      <c r="D17" s="33" t="str">
        <f>IF('IO List'!B17="GVL",CONCATENATE(": ",'IO List'!D17,";"),"")</f>
        <v/>
      </c>
      <c r="E17" s="33" t="str">
        <f>IF('IO List'!B17="GVL",CONCATENATE("// ",'IO List'!F17),"")</f>
        <v/>
      </c>
    </row>
    <row r="18" ht="14.25" customHeight="1">
      <c r="B18" s="33" t="str">
        <f>IF('IO List'!B18="GVL",CONCATENATE('IO List'!A18),"")</f>
        <v/>
      </c>
      <c r="C18" s="33" t="str">
        <f>IF('IO List'!B18="GVL",CONCATENATE("AT %",'IO List'!C18),"")</f>
        <v/>
      </c>
      <c r="D18" s="33" t="str">
        <f>IF('IO List'!B18="GVL",CONCATENATE(": ",'IO List'!D18,";"),"")</f>
        <v/>
      </c>
      <c r="E18" s="33" t="str">
        <f>IF('IO List'!B18="GVL",CONCATENATE("// ",'IO List'!F18),"")</f>
        <v/>
      </c>
    </row>
    <row r="19" ht="14.25" customHeight="1">
      <c r="B19" s="33" t="str">
        <f>IF('IO List'!B19="GVL",CONCATENATE('IO List'!A19),"")</f>
        <v/>
      </c>
      <c r="C19" s="33" t="str">
        <f>IF('IO List'!B19="GVL",CONCATENATE("AT %",'IO List'!C19),"")</f>
        <v/>
      </c>
      <c r="D19" s="33" t="str">
        <f>IF('IO List'!B19="GVL",CONCATENATE(": ",'IO List'!D19,";"),"")</f>
        <v/>
      </c>
      <c r="E19" s="33" t="str">
        <f>IF('IO List'!B19="GVL",CONCATENATE("// ",'IO List'!F19),"")</f>
        <v/>
      </c>
    </row>
    <row r="20" ht="14.25" customHeight="1">
      <c r="B20" s="33" t="str">
        <f>IF('IO List'!B20="GVL",CONCATENATE('IO List'!A20),"")</f>
        <v/>
      </c>
      <c r="C20" s="33" t="str">
        <f>IF('IO List'!B20="GVL",CONCATENATE("AT %",'IO List'!C20),"")</f>
        <v/>
      </c>
      <c r="D20" s="33" t="str">
        <f>IF('IO List'!B20="GVL",CONCATENATE(": ",'IO List'!D20,";"),"")</f>
        <v/>
      </c>
      <c r="E20" s="33" t="str">
        <f>IF('IO List'!B20="GVL",CONCATENATE("// ",'IO List'!F20),"")</f>
        <v/>
      </c>
    </row>
    <row r="21" ht="14.25" customHeight="1">
      <c r="B21" s="33" t="str">
        <f>IF('IO List'!B21="GVL",CONCATENATE('IO List'!A21),"")</f>
        <v/>
      </c>
      <c r="C21" s="33" t="str">
        <f>IF('IO List'!B21="GVL",CONCATENATE("AT %",'IO List'!C21),"")</f>
        <v/>
      </c>
      <c r="D21" s="33" t="str">
        <f>IF('IO List'!B21="GVL",CONCATENATE(": ",'IO List'!D21,";"),"")</f>
        <v/>
      </c>
      <c r="E21" s="33" t="str">
        <f>IF('IO List'!B21="GVL",CONCATENATE("// ",'IO List'!F21),"")</f>
        <v/>
      </c>
    </row>
    <row r="22" ht="14.25" customHeight="1">
      <c r="B22" s="33" t="str">
        <f>IF('IO List'!B22="GVL",CONCATENATE('IO List'!A22),"")</f>
        <v/>
      </c>
      <c r="C22" s="33" t="str">
        <f>IF('IO List'!B22="GVL",CONCATENATE("AT %",'IO List'!C22),"")</f>
        <v/>
      </c>
      <c r="D22" s="33" t="str">
        <f>IF('IO List'!B22="GVL",CONCATENATE(": ",'IO List'!D22,";"),"")</f>
        <v/>
      </c>
      <c r="E22" s="33" t="str">
        <f>IF('IO List'!B22="GVL",CONCATENATE("// ",'IO List'!F22),"")</f>
        <v/>
      </c>
    </row>
    <row r="23" ht="14.25" customHeight="1">
      <c r="B23" s="33" t="str">
        <f>IF('IO List'!B23="GVL",CONCATENATE('IO List'!A23),"")</f>
        <v/>
      </c>
      <c r="C23" s="33" t="str">
        <f>IF('IO List'!B23="GVL",CONCATENATE("AT %",'IO List'!C23),"")</f>
        <v/>
      </c>
      <c r="D23" s="33" t="str">
        <f>IF('IO List'!B23="GVL",CONCATENATE(": ",'IO List'!D23,";"),"")</f>
        <v/>
      </c>
      <c r="E23" s="33" t="str">
        <f>IF('IO List'!B23="GVL",CONCATENATE("// ",'IO List'!F23),"")</f>
        <v/>
      </c>
    </row>
    <row r="24" ht="14.25" customHeight="1">
      <c r="B24" s="33" t="str">
        <f>IF('IO List'!B24="GVL",CONCATENATE('IO List'!A24),"")</f>
        <v/>
      </c>
      <c r="C24" s="33" t="str">
        <f>IF('IO List'!B24="GVL",CONCATENATE("AT %",'IO List'!C24),"")</f>
        <v/>
      </c>
      <c r="D24" s="33" t="str">
        <f>IF('IO List'!B24="GVL",CONCATENATE(": ",'IO List'!D24,";"),"")</f>
        <v/>
      </c>
      <c r="E24" s="33" t="str">
        <f>IF('IO List'!B24="GVL",CONCATENATE("// ",'IO List'!F24),"")</f>
        <v/>
      </c>
    </row>
    <row r="25" ht="14.25" customHeight="1">
      <c r="B25" s="33" t="str">
        <f>IF('IO List'!B25="GVL",CONCATENATE('IO List'!A25),"")</f>
        <v/>
      </c>
      <c r="C25" s="33" t="str">
        <f>IF('IO List'!B25="GVL",CONCATENATE("AT %",'IO List'!C25),"")</f>
        <v/>
      </c>
      <c r="D25" s="33" t="str">
        <f>IF('IO List'!B25="GVL",CONCATENATE(": ",'IO List'!D25,";"),"")</f>
        <v/>
      </c>
      <c r="E25" s="33" t="str">
        <f>IF('IO List'!B25="GVL",CONCATENATE("// ",'IO List'!F25),"")</f>
        <v/>
      </c>
    </row>
    <row r="26" ht="14.25" customHeight="1">
      <c r="B26" s="33" t="str">
        <f>IF('IO List'!B26="GVL",CONCATENATE('IO List'!A26),"")</f>
        <v/>
      </c>
      <c r="C26" s="33" t="str">
        <f>IF('IO List'!B26="GVL",CONCATENATE("AT %",'IO List'!C26),"")</f>
        <v/>
      </c>
      <c r="D26" s="33" t="str">
        <f>IF('IO List'!B26="GVL",CONCATENATE(": ",'IO List'!D26,";"),"")</f>
        <v/>
      </c>
      <c r="E26" s="33" t="str">
        <f>IF('IO List'!B26="GVL",CONCATENATE("// ",'IO List'!F26),"")</f>
        <v/>
      </c>
    </row>
    <row r="27" ht="14.25" customHeight="1">
      <c r="B27" s="33" t="str">
        <f>IF('IO List'!B27="GVL",CONCATENATE('IO List'!A27),"")</f>
        <v/>
      </c>
      <c r="C27" s="33" t="str">
        <f>IF('IO List'!B27="GVL",CONCATENATE("AT %",'IO List'!C27),"")</f>
        <v/>
      </c>
      <c r="D27" s="33" t="str">
        <f>IF('IO List'!B27="GVL",CONCATENATE(": ",'IO List'!D27,";"),"")</f>
        <v/>
      </c>
      <c r="E27" s="33" t="str">
        <f>IF('IO List'!B27="GVL",CONCATENATE("// ",'IO List'!F27),"")</f>
        <v/>
      </c>
    </row>
    <row r="28" ht="14.25" customHeight="1">
      <c r="B28" s="33" t="str">
        <f>IF('IO List'!B28="GVL",CONCATENATE('IO List'!A28),"")</f>
        <v/>
      </c>
      <c r="C28" s="33" t="str">
        <f>IF('IO List'!B28="GVL",CONCATENATE("AT %",'IO List'!C28),"")</f>
        <v/>
      </c>
      <c r="D28" s="33" t="str">
        <f>IF('IO List'!B28="GVL",CONCATENATE(": ",'IO List'!D28,";"),"")</f>
        <v/>
      </c>
      <c r="E28" s="33" t="str">
        <f>IF('IO List'!B28="GVL",CONCATENATE("// ",'IO List'!F28),"")</f>
        <v/>
      </c>
    </row>
    <row r="29" ht="14.25" customHeight="1">
      <c r="B29" s="33" t="str">
        <f>IF('IO List'!B29="GVL",CONCATENATE('IO List'!A29),"")</f>
        <v/>
      </c>
      <c r="C29" s="33" t="str">
        <f>IF('IO List'!B29="GVL",CONCATENATE("AT %",'IO List'!C29),"")</f>
        <v/>
      </c>
      <c r="D29" s="33" t="str">
        <f>IF('IO List'!B29="GVL",CONCATENATE(": ",'IO List'!D29,";"),"")</f>
        <v/>
      </c>
      <c r="E29" s="33" t="str">
        <f>IF('IO List'!B29="GVL",CONCATENATE("// ",'IO List'!F29),"")</f>
        <v/>
      </c>
    </row>
    <row r="30" ht="14.25" customHeight="1">
      <c r="B30" s="33" t="str">
        <f>IF('IO List'!B30="GVL",CONCATENATE('IO List'!A30),"")</f>
        <v>SOP750_K7</v>
      </c>
      <c r="C30" s="33" t="str">
        <f>IF('IO List'!B30="GVL",CONCATENATE("AT %",'IO List'!C30),"")</f>
        <v>AT %MX3.0</v>
      </c>
      <c r="D30" s="33" t="str">
        <f>IF('IO List'!B30="GVL",CONCATENATE(": ",'IO List'!D30,";"),"")</f>
        <v>: BOOL;</v>
      </c>
      <c r="E30" s="33" t="str">
        <f>IF('IO List'!B30="GVL",CONCATENATE("// ",'IO List'!F30),"")</f>
        <v>// Safety Gate open</v>
      </c>
    </row>
    <row r="31" ht="14.25" customHeight="1">
      <c r="B31" s="33" t="str">
        <f>IF('IO List'!B31="GVL",CONCATENATE('IO List'!A31),"")</f>
        <v/>
      </c>
      <c r="C31" s="33" t="str">
        <f>IF('IO List'!B31="GVL",CONCATENATE("AT %",'IO List'!C31),"")</f>
        <v/>
      </c>
      <c r="D31" s="33" t="str">
        <f>IF('IO List'!B31="GVL",CONCATENATE(": ",'IO List'!D31,";"),"")</f>
        <v/>
      </c>
      <c r="E31" s="33" t="str">
        <f>IF('IO List'!B31="GVL",CONCATENATE("// ",'IO List'!F31),"")</f>
        <v/>
      </c>
    </row>
    <row r="32" ht="14.25" customHeight="1">
      <c r="B32" s="33" t="str">
        <f>IF('IO List'!B32="GVL",CONCATENATE('IO List'!A32),"")</f>
        <v/>
      </c>
      <c r="C32" s="33" t="str">
        <f>IF('IO List'!B32="GVL",CONCATENATE("AT %",'IO List'!C32),"")</f>
        <v/>
      </c>
      <c r="D32" s="33" t="str">
        <f>IF('IO List'!B32="GVL",CONCATENATE(": ",'IO List'!D32,";"),"")</f>
        <v/>
      </c>
      <c r="E32" s="33" t="str">
        <f>IF('IO List'!B32="GVL",CONCATENATE("// ",'IO List'!F32),"")</f>
        <v/>
      </c>
    </row>
    <row r="33" ht="14.25" customHeight="1">
      <c r="B33" s="33" t="str">
        <f>IF('IO List'!B33="GVL",CONCATENATE('IO List'!A33),"")</f>
        <v/>
      </c>
      <c r="C33" s="33" t="str">
        <f>IF('IO List'!B33="GVL",CONCATENATE("AT %",'IO List'!C33),"")</f>
        <v/>
      </c>
      <c r="D33" s="33" t="str">
        <f>IF('IO List'!B33="GVL",CONCATENATE(": ",'IO List'!D33,";"),"")</f>
        <v/>
      </c>
      <c r="E33" s="33" t="str">
        <f>IF('IO List'!B33="GVL",CONCATENATE("// ",'IO List'!F33),"")</f>
        <v/>
      </c>
    </row>
    <row r="34" ht="14.25" customHeight="1">
      <c r="B34" s="33" t="str">
        <f>IF('IO List'!B34="GVL",CONCATENATE('IO List'!A34),"")</f>
        <v/>
      </c>
      <c r="C34" s="33" t="str">
        <f>IF('IO List'!B34="GVL",CONCATENATE("AT %",'IO List'!C34),"")</f>
        <v/>
      </c>
      <c r="D34" s="33" t="str">
        <f>IF('IO List'!B34="GVL",CONCATENATE(": ",'IO List'!D34,";"),"")</f>
        <v/>
      </c>
      <c r="E34" s="33" t="str">
        <f>IF('IO List'!B34="GVL",CONCATENATE("// ",'IO List'!F34),"")</f>
        <v/>
      </c>
    </row>
    <row r="35" ht="14.25" customHeight="1">
      <c r="B35" s="33" t="str">
        <f>IF('IO List'!B35="GVL",CONCATENATE('IO List'!A35),"")</f>
        <v/>
      </c>
      <c r="C35" s="33" t="str">
        <f>IF('IO List'!B35="GVL",CONCATENATE("AT %",'IO List'!C35),"")</f>
        <v/>
      </c>
      <c r="D35" s="33" t="str">
        <f>IF('IO List'!B35="GVL",CONCATENATE(": ",'IO List'!D35,";"),"")</f>
        <v/>
      </c>
      <c r="E35" s="33" t="str">
        <f>IF('IO List'!B35="GVL",CONCATENATE("// ",'IO List'!F35),"")</f>
        <v/>
      </c>
    </row>
    <row r="36" ht="14.25" customHeight="1">
      <c r="B36" s="33" t="str">
        <f>IF('IO List'!B36="GVL",CONCATENATE('IO List'!A36),"")</f>
        <v/>
      </c>
      <c r="C36" s="33" t="str">
        <f>IF('IO List'!B36="GVL",CONCATENATE("AT %",'IO List'!C36),"")</f>
        <v/>
      </c>
      <c r="D36" s="33" t="str">
        <f>IF('IO List'!B36="GVL",CONCATENATE(": ",'IO List'!D36,";"),"")</f>
        <v/>
      </c>
      <c r="E36" s="33" t="str">
        <f>IF('IO List'!B36="GVL",CONCATENATE("// ",'IO List'!F36),"")</f>
        <v/>
      </c>
    </row>
    <row r="37" ht="14.25" customHeight="1">
      <c r="B37" s="33" t="str">
        <f>IF('IO List'!B37="GVL",CONCATENATE('IO List'!A37),"")</f>
        <v/>
      </c>
      <c r="C37" s="33" t="str">
        <f>IF('IO List'!B37="GVL",CONCATENATE("AT %",'IO List'!C37),"")</f>
        <v/>
      </c>
      <c r="D37" s="33" t="str">
        <f>IF('IO List'!B37="GVL",CONCATENATE(": ",'IO List'!D37,";"),"")</f>
        <v/>
      </c>
      <c r="E37" s="33" t="str">
        <f>IF('IO List'!B37="GVL",CONCATENATE("// ",'IO List'!F37),"")</f>
        <v/>
      </c>
    </row>
    <row r="38" ht="14.25" customHeight="1">
      <c r="B38" s="33" t="str">
        <f>IF('IO List'!B38="GVL",CONCATENATE('IO List'!A38),"")</f>
        <v/>
      </c>
      <c r="C38" s="33" t="str">
        <f>IF('IO List'!B38="GVL",CONCATENATE("AT %",'IO List'!C38),"")</f>
        <v/>
      </c>
      <c r="D38" s="33" t="str">
        <f>IF('IO List'!B38="GVL",CONCATENATE(": ",'IO List'!D38,";"),"")</f>
        <v/>
      </c>
      <c r="E38" s="33" t="str">
        <f>IF('IO List'!B38="GVL",CONCATENATE("// ",'IO List'!F38),"")</f>
        <v/>
      </c>
    </row>
    <row r="39" ht="14.25" customHeight="1">
      <c r="B39" s="33" t="str">
        <f>IF('IO List'!B39="GVL",CONCATENATE('IO List'!A39),"")</f>
        <v/>
      </c>
      <c r="C39" s="33" t="str">
        <f>IF('IO List'!B39="GVL",CONCATENATE("AT %",'IO List'!C39),"")</f>
        <v/>
      </c>
      <c r="D39" s="33" t="str">
        <f>IF('IO List'!B39="GVL",CONCATENATE(": ",'IO List'!D39,";"),"")</f>
        <v/>
      </c>
      <c r="E39" s="33" t="str">
        <f>IF('IO List'!B39="GVL",CONCATENATE("// ",'IO List'!F39),"")</f>
        <v/>
      </c>
    </row>
    <row r="40" ht="14.25" customHeight="1">
      <c r="B40" s="33" t="str">
        <f>IF('IO List'!B40="GVL",CONCATENATE('IO List'!A40),"")</f>
        <v/>
      </c>
      <c r="C40" s="33" t="str">
        <f>IF('IO List'!B40="GVL",CONCATENATE("AT %",'IO List'!C40),"")</f>
        <v/>
      </c>
      <c r="D40" s="33" t="str">
        <f>IF('IO List'!B40="GVL",CONCATENATE(": ",'IO List'!D40,";"),"")</f>
        <v/>
      </c>
      <c r="E40" s="33" t="str">
        <f>IF('IO List'!B40="GVL",CONCATENATE("// ",'IO List'!F40),"")</f>
        <v/>
      </c>
    </row>
    <row r="41" ht="14.25" customHeight="1">
      <c r="B41" s="33" t="str">
        <f>IF('IO List'!B41="GVL",CONCATENATE('IO List'!A41),"")</f>
        <v/>
      </c>
      <c r="C41" s="33" t="str">
        <f>IF('IO List'!B41="GVL",CONCATENATE("AT %",'IO List'!C41),"")</f>
        <v/>
      </c>
      <c r="D41" s="33" t="str">
        <f>IF('IO List'!B41="GVL",CONCATENATE(": ",'IO List'!D41,";"),"")</f>
        <v/>
      </c>
      <c r="E41" s="33" t="str">
        <f>IF('IO List'!B41="GVL",CONCATENATE("// ",'IO List'!F41),"")</f>
        <v/>
      </c>
    </row>
    <row r="42" ht="14.25" customHeight="1">
      <c r="B42" s="33" t="str">
        <f>IF('IO List'!B42="GVL",CONCATENATE('IO List'!A42),"")</f>
        <v/>
      </c>
      <c r="C42" s="33" t="str">
        <f>IF('IO List'!B42="GVL",CONCATENATE("AT %",'IO List'!C42),"")</f>
        <v/>
      </c>
      <c r="D42" s="33" t="str">
        <f>IF('IO List'!B42="GVL",CONCATENATE(": ",'IO List'!D42,";"),"")</f>
        <v/>
      </c>
      <c r="E42" s="33" t="str">
        <f>IF('IO List'!B42="GVL",CONCATENATE("// ",'IO List'!F42),"")</f>
        <v/>
      </c>
    </row>
    <row r="43" ht="14.25" customHeight="1">
      <c r="B43" s="33" t="str">
        <f>IF('IO List'!B43="GVL",CONCATENATE('IO List'!A43),"")</f>
        <v/>
      </c>
      <c r="C43" s="33" t="str">
        <f>IF('IO List'!B43="GVL",CONCATENATE("AT %",'IO List'!C43),"")</f>
        <v/>
      </c>
      <c r="D43" s="33" t="str">
        <f>IF('IO List'!B43="GVL",CONCATENATE(": ",'IO List'!D43,";"),"")</f>
        <v/>
      </c>
      <c r="E43" s="33" t="str">
        <f>IF('IO List'!B43="GVL",CONCATENATE("// ",'IO List'!F43),"")</f>
        <v/>
      </c>
    </row>
    <row r="44" ht="14.25" customHeight="1">
      <c r="B44" s="33" t="str">
        <f>IF('IO List'!B44="GVL",CONCATENATE('IO List'!A44),"")</f>
        <v/>
      </c>
      <c r="C44" s="33" t="str">
        <f>IF('IO List'!B44="GVL",CONCATENATE("AT %",'IO List'!C44),"")</f>
        <v/>
      </c>
      <c r="D44" s="33" t="str">
        <f>IF('IO List'!B44="GVL",CONCATENATE(": ",'IO List'!D44,";"),"")</f>
        <v/>
      </c>
      <c r="E44" s="33" t="str">
        <f>IF('IO List'!B44="GVL",CONCATENATE("// ",'IO List'!F44),"")</f>
        <v/>
      </c>
    </row>
    <row r="45" ht="14.25" customHeight="1">
      <c r="B45" s="33" t="str">
        <f>IF('IO List'!B45="GVL",CONCATENATE('IO List'!A45),"")</f>
        <v/>
      </c>
      <c r="C45" s="33" t="str">
        <f>IF('IO List'!B45="GVL",CONCATENATE("AT %",'IO List'!C45),"")</f>
        <v/>
      </c>
      <c r="D45" s="33" t="str">
        <f>IF('IO List'!B45="GVL",CONCATENATE(": ",'IO List'!D45,";"),"")</f>
        <v/>
      </c>
      <c r="E45" s="33" t="str">
        <f>IF('IO List'!B45="GVL",CONCATENATE("// ",'IO List'!F45),"")</f>
        <v/>
      </c>
    </row>
    <row r="46" ht="14.25" customHeight="1">
      <c r="B46" s="33" t="str">
        <f>IF('IO List'!B46="GVL",CONCATENATE('IO List'!A46),"")</f>
        <v/>
      </c>
      <c r="C46" s="33" t="str">
        <f>IF('IO List'!B46="GVL",CONCATENATE("AT %",'IO List'!C46),"")</f>
        <v/>
      </c>
      <c r="D46" s="33" t="str">
        <f>IF('IO List'!B46="GVL",CONCATENATE(": ",'IO List'!D46,";"),"")</f>
        <v/>
      </c>
      <c r="E46" s="33" t="str">
        <f>IF('IO List'!B46="GVL",CONCATENATE("// ",'IO List'!F46),"")</f>
        <v/>
      </c>
    </row>
    <row r="47" ht="14.25" customHeight="1">
      <c r="B47" s="33" t="str">
        <f>IF('IO List'!B47="GVL",CONCATENATE('IO List'!A47),"")</f>
        <v/>
      </c>
      <c r="C47" s="33" t="str">
        <f>IF('IO List'!B47="GVL",CONCATENATE("AT %",'IO List'!C47),"")</f>
        <v/>
      </c>
      <c r="D47" s="33" t="str">
        <f>IF('IO List'!B47="GVL",CONCATENATE(": ",'IO List'!D47,";"),"")</f>
        <v/>
      </c>
      <c r="E47" s="33" t="str">
        <f>IF('IO List'!B47="GVL",CONCATENATE("// ",'IO List'!F47),"")</f>
        <v/>
      </c>
    </row>
    <row r="48" ht="14.25" customHeight="1">
      <c r="B48" s="33" t="str">
        <f>IF('IO List'!B48="GVL",CONCATENATE('IO List'!A48),"")</f>
        <v/>
      </c>
      <c r="C48" s="33" t="str">
        <f>IF('IO List'!B48="GVL",CONCATENATE("AT %",'IO List'!C48),"")</f>
        <v/>
      </c>
      <c r="D48" s="33" t="str">
        <f>IF('IO List'!B48="GVL",CONCATENATE(": ",'IO List'!D48,";"),"")</f>
        <v/>
      </c>
      <c r="E48" s="33" t="str">
        <f>IF('IO List'!B48="GVL",CONCATENATE("// ",'IO List'!F48),"")</f>
        <v/>
      </c>
    </row>
    <row r="49" ht="14.25" customHeight="1">
      <c r="B49" s="33" t="str">
        <f>IF('IO List'!B49="GVL",CONCATENATE('IO List'!A49),"")</f>
        <v/>
      </c>
      <c r="C49" s="33" t="str">
        <f>IF('IO List'!B49="GVL",CONCATENATE("AT %",'IO List'!C49),"")</f>
        <v/>
      </c>
      <c r="D49" s="33" t="str">
        <f>IF('IO List'!B49="GVL",CONCATENATE(": ",'IO List'!D49,";"),"")</f>
        <v/>
      </c>
      <c r="E49" s="33" t="str">
        <f>IF('IO List'!B49="GVL",CONCATENATE("// ",'IO List'!F49),"")</f>
        <v/>
      </c>
    </row>
    <row r="50" ht="14.25" customHeight="1">
      <c r="B50" s="33" t="str">
        <f>IF('IO List'!B50="GVL",CONCATENATE('IO List'!A50),"")</f>
        <v/>
      </c>
      <c r="C50" s="33" t="str">
        <f>IF('IO List'!B50="GVL",CONCATENATE("AT %",'IO List'!C50),"")</f>
        <v/>
      </c>
      <c r="D50" s="33" t="str">
        <f>IF('IO List'!B50="GVL",CONCATENATE(": ",'IO List'!D50,";"),"")</f>
        <v/>
      </c>
      <c r="E50" s="33" t="str">
        <f>IF('IO List'!B50="GVL",CONCATENATE("// ",'IO List'!F50),"")</f>
        <v/>
      </c>
    </row>
    <row r="51" ht="14.25" customHeight="1">
      <c r="B51" s="33" t="str">
        <f>IF('IO List'!B51="GVL",CONCATENATE('IO List'!A51),"")</f>
        <v/>
      </c>
      <c r="C51" s="33" t="str">
        <f>IF('IO List'!B51="GVL",CONCATENATE("AT %",'IO List'!C51),"")</f>
        <v/>
      </c>
      <c r="D51" s="33" t="str">
        <f>IF('IO List'!B51="GVL",CONCATENATE(": ",'IO List'!D51,";"),"")</f>
        <v/>
      </c>
      <c r="E51" s="33" t="str">
        <f>IF('IO List'!B51="GVL",CONCATENATE("// ",'IO List'!F51),"")</f>
        <v/>
      </c>
    </row>
    <row r="52" ht="14.25" customHeight="1">
      <c r="B52" s="33" t="str">
        <f>IF('IO List'!B52="GVL",CONCATENATE('IO List'!A52),"")</f>
        <v/>
      </c>
      <c r="C52" s="33" t="str">
        <f>IF('IO List'!B52="GVL",CONCATENATE("AT %",'IO List'!C52),"")</f>
        <v/>
      </c>
      <c r="D52" s="33" t="str">
        <f>IF('IO List'!B52="GVL",CONCATENATE(": ",'IO List'!D52,";"),"")</f>
        <v/>
      </c>
      <c r="E52" s="33" t="str">
        <f>IF('IO List'!B52="GVL",CONCATENATE("// ",'IO List'!F52),"")</f>
        <v/>
      </c>
    </row>
    <row r="53" ht="14.25" customHeight="1">
      <c r="B53" s="33" t="str">
        <f>IF('IO List'!B53="GVL",CONCATENATE('IO List'!A53),"")</f>
        <v/>
      </c>
      <c r="C53" s="33" t="str">
        <f>IF('IO List'!B53="GVL",CONCATENATE("AT %",'IO List'!C53),"")</f>
        <v/>
      </c>
      <c r="D53" s="33" t="str">
        <f>IF('IO List'!B53="GVL",CONCATENATE(": ",'IO List'!D53,";"),"")</f>
        <v/>
      </c>
      <c r="E53" s="33" t="str">
        <f>IF('IO List'!B53="GVL",CONCATENATE("// ",'IO List'!F53),"")</f>
        <v/>
      </c>
    </row>
    <row r="54" ht="14.25" customHeight="1">
      <c r="B54" s="33" t="str">
        <f>IF('IO List'!B54="GVL",CONCATENATE('IO List'!A54),"")</f>
        <v/>
      </c>
      <c r="C54" s="33" t="str">
        <f>IF('IO List'!B54="GVL",CONCATENATE("AT %",'IO List'!C54),"")</f>
        <v/>
      </c>
      <c r="D54" s="33" t="str">
        <f>IF('IO List'!B54="GVL",CONCATENATE(": ",'IO List'!D54,";"),"")</f>
        <v/>
      </c>
      <c r="E54" s="33" t="str">
        <f>IF('IO List'!B54="GVL",CONCATENATE("// ",'IO List'!F54),"")</f>
        <v/>
      </c>
    </row>
    <row r="55" ht="14.25" customHeight="1">
      <c r="B55" s="33" t="str">
        <f>IF('IO List'!B55="GVL",CONCATENATE('IO List'!A55),"")</f>
        <v/>
      </c>
      <c r="C55" s="33" t="str">
        <f>IF('IO List'!B55="GVL",CONCATENATE("AT %",'IO List'!C55),"")</f>
        <v/>
      </c>
      <c r="D55" s="33" t="str">
        <f>IF('IO List'!B55="GVL",CONCATENATE(": ",'IO List'!D55,";"),"")</f>
        <v/>
      </c>
      <c r="E55" s="33" t="str">
        <f>IF('IO List'!B55="GVL",CONCATENATE("// ",'IO List'!F55),"")</f>
        <v/>
      </c>
    </row>
    <row r="56" ht="14.25" customHeight="1">
      <c r="B56" s="33" t="str">
        <f>IF('IO List'!B56="GVL",CONCATENATE('IO List'!A56),"")</f>
        <v/>
      </c>
      <c r="C56" s="33" t="str">
        <f>IF('IO List'!B56="GVL",CONCATENATE("AT %",'IO List'!C56),"")</f>
        <v/>
      </c>
      <c r="D56" s="33" t="str">
        <f>IF('IO List'!B56="GVL",CONCATENATE(": ",'IO List'!D56,";"),"")</f>
        <v/>
      </c>
      <c r="E56" s="33" t="str">
        <f>IF('IO List'!B56="GVL",CONCATENATE("// ",'IO List'!F56),"")</f>
        <v/>
      </c>
    </row>
    <row r="57" ht="14.25" customHeight="1">
      <c r="B57" s="33" t="str">
        <f>IF('IO List'!B57="GVL",CONCATENATE('IO List'!A57),"")</f>
        <v/>
      </c>
      <c r="C57" s="33" t="str">
        <f>IF('IO List'!B57="GVL",CONCATENATE("AT %",'IO List'!C57),"")</f>
        <v/>
      </c>
      <c r="D57" s="33" t="str">
        <f>IF('IO List'!B57="GVL",CONCATENATE(": ",'IO List'!D57,";"),"")</f>
        <v/>
      </c>
      <c r="E57" s="33" t="str">
        <f>IF('IO List'!B57="GVL",CONCATENATE("// ",'IO List'!F57),"")</f>
        <v/>
      </c>
    </row>
    <row r="58" ht="14.25" customHeight="1">
      <c r="B58" s="33" t="str">
        <f>IF('IO List'!B58="GVL",CONCATENATE('IO List'!A58),"")</f>
        <v/>
      </c>
      <c r="C58" s="33" t="str">
        <f>IF('IO List'!B58="GVL",CONCATENATE("AT %",'IO List'!C58),"")</f>
        <v/>
      </c>
      <c r="D58" s="33" t="str">
        <f>IF('IO List'!B58="GVL",CONCATENATE(": ",'IO List'!D58,";"),"")</f>
        <v/>
      </c>
      <c r="E58" s="33" t="str">
        <f>IF('IO List'!B58="GVL",CONCATENATE("// ",'IO List'!F58),"")</f>
        <v/>
      </c>
    </row>
    <row r="59" ht="14.25" customHeight="1">
      <c r="B59" s="33" t="str">
        <f>IF('IO List'!B59="GVL",CONCATENATE('IO List'!A59),"")</f>
        <v/>
      </c>
      <c r="C59" s="33" t="str">
        <f>IF('IO List'!B59="GVL",CONCATENATE("AT %",'IO List'!C59),"")</f>
        <v/>
      </c>
      <c r="D59" s="33" t="str">
        <f>IF('IO List'!B59="GVL",CONCATENATE(": ",'IO List'!D59,";"),"")</f>
        <v/>
      </c>
      <c r="E59" s="33" t="str">
        <f>IF('IO List'!B59="GVL",CONCATENATE("// ",'IO List'!F59),"")</f>
        <v/>
      </c>
    </row>
    <row r="60" ht="14.25" customHeight="1">
      <c r="B60" s="33" t="str">
        <f>IF('IO List'!B60="GVL",CONCATENATE('IO List'!A60),"")</f>
        <v/>
      </c>
      <c r="C60" s="33" t="str">
        <f>IF('IO List'!B60="GVL",CONCATENATE("AT %",'IO List'!C60),"")</f>
        <v/>
      </c>
      <c r="D60" s="33" t="str">
        <f>IF('IO List'!B60="GVL",CONCATENATE(": ",'IO List'!D60,";"),"")</f>
        <v/>
      </c>
      <c r="E60" s="33" t="str">
        <f>IF('IO List'!B60="GVL",CONCATENATE("// ",'IO List'!F60),"")</f>
        <v/>
      </c>
    </row>
    <row r="61" ht="14.25" customHeight="1">
      <c r="B61" s="33" t="str">
        <f>IF('IO List'!B61="GVL",CONCATENATE('IO List'!A61),"")</f>
        <v/>
      </c>
      <c r="C61" s="33" t="str">
        <f>IF('IO List'!B61="GVL",CONCATENATE("AT %",'IO List'!C61),"")</f>
        <v/>
      </c>
      <c r="D61" s="33" t="str">
        <f>IF('IO List'!B61="GVL",CONCATENATE(": ",'IO List'!D61,";"),"")</f>
        <v/>
      </c>
      <c r="E61" s="33" t="str">
        <f>IF('IO List'!B61="GVL",CONCATENATE("// ",'IO List'!F61),"")</f>
        <v/>
      </c>
    </row>
    <row r="62" ht="14.25" customHeight="1">
      <c r="B62" s="33" t="str">
        <f>IF('IO List'!B62="GVL",CONCATENATE('IO List'!A62),"")</f>
        <v/>
      </c>
      <c r="C62" s="33" t="str">
        <f>IF('IO List'!B62="GVL",CONCATENATE("AT %",'IO List'!C62),"")</f>
        <v/>
      </c>
      <c r="D62" s="33" t="str">
        <f>IF('IO List'!B62="GVL",CONCATENATE(": ",'IO List'!D62,";"),"")</f>
        <v/>
      </c>
      <c r="E62" s="33" t="str">
        <f>IF('IO List'!B62="GVL",CONCATENATE("// ",'IO List'!F62),"")</f>
        <v/>
      </c>
    </row>
    <row r="63" ht="14.25" customHeight="1">
      <c r="B63" s="33" t="str">
        <f>IF('IO List'!B63="GVL",CONCATENATE('IO List'!A63),"")</f>
        <v/>
      </c>
      <c r="C63" s="33" t="str">
        <f>IF('IO List'!B63="GVL",CONCATENATE("AT %",'IO List'!C63),"")</f>
        <v/>
      </c>
      <c r="D63" s="33" t="str">
        <f>IF('IO List'!B63="GVL",CONCATENATE(": ",'IO List'!D63,";"),"")</f>
        <v/>
      </c>
      <c r="E63" s="33" t="str">
        <f>IF('IO List'!B63="GVL",CONCATENATE("// ",'IO List'!F63),"")</f>
        <v/>
      </c>
    </row>
    <row r="64" ht="14.25" customHeight="1">
      <c r="B64" s="33" t="str">
        <f>IF('IO List'!B64="GVL",CONCATENATE('IO List'!A64),"")</f>
        <v/>
      </c>
      <c r="C64" s="33" t="str">
        <f>IF('IO List'!B64="GVL",CONCATENATE("AT %",'IO List'!C64),"")</f>
        <v/>
      </c>
      <c r="D64" s="33" t="str">
        <f>IF('IO List'!B64="GVL",CONCATENATE(": ",'IO List'!D64,";"),"")</f>
        <v/>
      </c>
      <c r="E64" s="33" t="str">
        <f>IF('IO List'!B64="GVL",CONCATENATE("// ",'IO List'!F64),"")</f>
        <v/>
      </c>
    </row>
    <row r="65" ht="14.25" customHeight="1">
      <c r="B65" s="33" t="str">
        <f>IF('IO List'!B65="GVL",CONCATENATE('IO List'!A65),"")</f>
        <v/>
      </c>
      <c r="C65" s="33" t="str">
        <f>IF('IO List'!B65="GVL",CONCATENATE("AT %",'IO List'!C65),"")</f>
        <v/>
      </c>
      <c r="D65" s="33" t="str">
        <f>IF('IO List'!B65="GVL",CONCATENATE(": ",'IO List'!D65,";"),"")</f>
        <v/>
      </c>
      <c r="E65" s="33" t="str">
        <f>IF('IO List'!B65="GVL",CONCATENATE("// ",'IO List'!F65),"")</f>
        <v/>
      </c>
    </row>
    <row r="66" ht="14.25" customHeight="1">
      <c r="B66" s="33" t="str">
        <f>IF('IO List'!B66="GVL",CONCATENATE('IO List'!A66),"")</f>
        <v/>
      </c>
      <c r="C66" s="33" t="str">
        <f>IF('IO List'!B66="GVL",CONCATENATE("AT %",'IO List'!C66),"")</f>
        <v/>
      </c>
      <c r="D66" s="33" t="str">
        <f>IF('IO List'!B66="GVL",CONCATENATE(": ",'IO List'!D66,";"),"")</f>
        <v/>
      </c>
      <c r="E66" s="33" t="str">
        <f>IF('IO List'!B66="GVL",CONCATENATE("// ",'IO List'!F66),"")</f>
        <v/>
      </c>
    </row>
    <row r="67" ht="14.25" customHeight="1">
      <c r="B67" s="33" t="str">
        <f>IF('IO List'!B67="GVL",CONCATENATE('IO List'!A67),"")</f>
        <v/>
      </c>
      <c r="C67" s="33" t="str">
        <f>IF('IO List'!B67="GVL",CONCATENATE("AT %",'IO List'!C67),"")</f>
        <v/>
      </c>
      <c r="D67" s="33" t="str">
        <f>IF('IO List'!B67="GVL",CONCATENATE(": ",'IO List'!D67,";"),"")</f>
        <v/>
      </c>
      <c r="E67" s="33" t="str">
        <f>IF('IO List'!B67="GVL",CONCATENATE("// ",'IO List'!F67),"")</f>
        <v/>
      </c>
    </row>
    <row r="68" ht="14.25" customHeight="1">
      <c r="B68" s="33" t="str">
        <f>IF('IO List'!B68="GVL",CONCATENATE('IO List'!A68),"")</f>
        <v/>
      </c>
      <c r="C68" s="33" t="str">
        <f>IF('IO List'!B68="GVL",CONCATENATE("AT %",'IO List'!C68),"")</f>
        <v/>
      </c>
      <c r="D68" s="33" t="str">
        <f>IF('IO List'!B68="GVL",CONCATENATE(": ",'IO List'!D68,";"),"")</f>
        <v/>
      </c>
      <c r="E68" s="33" t="str">
        <f>IF('IO List'!B68="GVL",CONCATENATE("// ",'IO List'!F68),"")</f>
        <v/>
      </c>
    </row>
    <row r="69" ht="14.25" customHeight="1">
      <c r="B69" s="33" t="str">
        <f>IF('IO List'!B69="GVL",CONCATENATE('IO List'!A69),"")</f>
        <v/>
      </c>
      <c r="C69" s="33" t="str">
        <f>IF('IO List'!B69="GVL",CONCATENATE("AT %",'IO List'!C69),"")</f>
        <v/>
      </c>
      <c r="D69" s="33" t="str">
        <f>IF('IO List'!B69="GVL",CONCATENATE(": ",'IO List'!D69,";"),"")</f>
        <v/>
      </c>
      <c r="E69" s="33" t="str">
        <f>IF('IO List'!B69="GVL",CONCATENATE("// ",'IO List'!F69),"")</f>
        <v/>
      </c>
    </row>
    <row r="70" ht="14.25" customHeight="1">
      <c r="B70" s="33" t="str">
        <f>IF('IO List'!B70="GVL",CONCATENATE('IO List'!A70),"")</f>
        <v/>
      </c>
      <c r="C70" s="33" t="str">
        <f>IF('IO List'!B70="GVL",CONCATENATE("AT %",'IO List'!C70),"")</f>
        <v/>
      </c>
      <c r="D70" s="33" t="str">
        <f>IF('IO List'!B70="GVL",CONCATENATE(": ",'IO List'!D70,";"),"")</f>
        <v/>
      </c>
      <c r="E70" s="33" t="str">
        <f>IF('IO List'!B70="GVL",CONCATENATE("// ",'IO List'!F70),"")</f>
        <v/>
      </c>
    </row>
    <row r="71" ht="14.25" customHeight="1">
      <c r="B71" s="33" t="str">
        <f>IF('IO List'!B71="GVL",CONCATENATE('IO List'!A71),"")</f>
        <v/>
      </c>
      <c r="C71" s="33" t="str">
        <f>IF('IO List'!B71="GVL",CONCATENATE("AT %",'IO List'!C71),"")</f>
        <v/>
      </c>
      <c r="D71" s="33" t="str">
        <f>IF('IO List'!B71="GVL",CONCATENATE(": ",'IO List'!D71,";"),"")</f>
        <v/>
      </c>
      <c r="E71" s="33" t="str">
        <f>IF('IO List'!B71="GVL",CONCATENATE("// ",'IO List'!F71),"")</f>
        <v/>
      </c>
    </row>
    <row r="72" ht="14.25" customHeight="1">
      <c r="B72" s="33" t="str">
        <f>IF('IO List'!B72="GVL",CONCATENATE('IO List'!A72),"")</f>
        <v/>
      </c>
      <c r="C72" s="33" t="str">
        <f>IF('IO List'!B72="GVL",CONCATENATE("AT %",'IO List'!C72),"")</f>
        <v/>
      </c>
      <c r="D72" s="33" t="str">
        <f>IF('IO List'!B72="GVL",CONCATENATE(": ",'IO List'!D72,";"),"")</f>
        <v/>
      </c>
      <c r="E72" s="33" t="str">
        <f>IF('IO List'!B72="GVL",CONCATENATE("// ",'IO List'!F72),"")</f>
        <v/>
      </c>
    </row>
    <row r="73" ht="14.25" customHeight="1">
      <c r="B73" s="33" t="str">
        <f>IF('IO List'!B73="GVL",CONCATENATE('IO List'!A73),"")</f>
        <v/>
      </c>
      <c r="C73" s="33" t="str">
        <f>IF('IO List'!B73="GVL",CONCATENATE("AT %",'IO List'!C73),"")</f>
        <v/>
      </c>
      <c r="D73" s="33" t="str">
        <f>IF('IO List'!B73="GVL",CONCATENATE(": ",'IO List'!D73,";"),"")</f>
        <v/>
      </c>
      <c r="E73" s="33" t="str">
        <f>IF('IO List'!B73="GVL",CONCATENATE("// ",'IO List'!F73),"")</f>
        <v/>
      </c>
    </row>
    <row r="74" ht="14.25" customHeight="1">
      <c r="B74" s="33" t="str">
        <f>IF('IO List'!B74="GVL",CONCATENATE('IO List'!A74),"")</f>
        <v/>
      </c>
      <c r="C74" s="33" t="str">
        <f>IF('IO List'!B74="GVL",CONCATENATE("AT %",'IO List'!C74),"")</f>
        <v/>
      </c>
      <c r="D74" s="33" t="str">
        <f>IF('IO List'!B74="GVL",CONCATENATE(": ",'IO List'!D74,";"),"")</f>
        <v/>
      </c>
      <c r="E74" s="33" t="str">
        <f>IF('IO List'!B74="GVL",CONCATENATE("// ",'IO List'!F74),"")</f>
        <v/>
      </c>
    </row>
    <row r="75" ht="14.25" customHeight="1">
      <c r="B75" s="33" t="str">
        <f>IF('IO List'!B75="GVL",CONCATENATE('IO List'!A75),"")</f>
        <v/>
      </c>
      <c r="C75" s="33" t="str">
        <f>IF('IO List'!B75="GVL",CONCATENATE("AT %",'IO List'!C75),"")</f>
        <v/>
      </c>
      <c r="D75" s="33" t="str">
        <f>IF('IO List'!B75="GVL",CONCATENATE(": ",'IO List'!D75,";"),"")</f>
        <v/>
      </c>
      <c r="E75" s="33" t="str">
        <f>IF('IO List'!B75="GVL",CONCATENATE("// ",'IO List'!F75),"")</f>
        <v/>
      </c>
    </row>
    <row r="76" ht="14.25" customHeight="1">
      <c r="B76" s="33" t="str">
        <f>IF('IO List'!B76="GVL",CONCATENATE('IO List'!A76),"")</f>
        <v/>
      </c>
      <c r="C76" s="33" t="str">
        <f>IF('IO List'!B76="GVL",CONCATENATE("AT %",'IO List'!C76),"")</f>
        <v/>
      </c>
      <c r="D76" s="33" t="str">
        <f>IF('IO List'!B76="GVL",CONCATENATE(": ",'IO List'!D76,";"),"")</f>
        <v/>
      </c>
      <c r="E76" s="33" t="str">
        <f>IF('IO List'!B76="GVL",CONCATENATE("// ",'IO List'!F76),"")</f>
        <v/>
      </c>
    </row>
    <row r="77" ht="14.25" customHeight="1">
      <c r="B77" s="33" t="str">
        <f>IF('IO List'!B77="GVL",CONCATENATE('IO List'!A77),"")</f>
        <v/>
      </c>
      <c r="C77" s="33" t="str">
        <f>IF('IO List'!B77="GVL",CONCATENATE("AT %",'IO List'!C77),"")</f>
        <v/>
      </c>
      <c r="D77" s="33" t="str">
        <f>IF('IO List'!B77="GVL",CONCATENATE(": ",'IO List'!D77,";"),"")</f>
        <v/>
      </c>
      <c r="E77" s="33" t="str">
        <f>IF('IO List'!B77="GVL",CONCATENATE("// ",'IO List'!F77),"")</f>
        <v/>
      </c>
    </row>
    <row r="78" ht="14.25" customHeight="1">
      <c r="B78" s="33" t="str">
        <f>IF('IO List'!B78="GVL",CONCATENATE('IO List'!A78),"")</f>
        <v/>
      </c>
      <c r="C78" s="33" t="str">
        <f>IF('IO List'!B78="GVL",CONCATENATE("AT %",'IO List'!C78),"")</f>
        <v/>
      </c>
      <c r="D78" s="33" t="str">
        <f>IF('IO List'!B78="GVL",CONCATENATE(": ",'IO List'!D78,";"),"")</f>
        <v/>
      </c>
      <c r="E78" s="33" t="str">
        <f>IF('IO List'!B78="GVL",CONCATENATE("// ",'IO List'!F78),"")</f>
        <v/>
      </c>
    </row>
    <row r="79" ht="14.25" customHeight="1">
      <c r="B79" s="33" t="str">
        <f>IF('IO List'!B79="GVL",CONCATENATE('IO List'!A79),"")</f>
        <v/>
      </c>
      <c r="C79" s="33" t="str">
        <f>IF('IO List'!B79="GVL",CONCATENATE("AT %",'IO List'!C79),"")</f>
        <v/>
      </c>
      <c r="D79" s="33" t="str">
        <f>IF('IO List'!B79="GVL",CONCATENATE(": ",'IO List'!D79,";"),"")</f>
        <v/>
      </c>
      <c r="E79" s="33" t="str">
        <f>IF('IO List'!B79="GVL",CONCATENATE("// ",'IO List'!F79),"")</f>
        <v/>
      </c>
    </row>
    <row r="80" ht="14.25" customHeight="1">
      <c r="B80" s="33" t="str">
        <f>IF('IO List'!B80="GVL",CONCATENATE('IO List'!A80),"")</f>
        <v/>
      </c>
      <c r="C80" s="33" t="str">
        <f>IF('IO List'!B80="GVL",CONCATENATE("AT %",'IO List'!C80),"")</f>
        <v/>
      </c>
      <c r="D80" s="33" t="str">
        <f>IF('IO List'!B80="GVL",CONCATENATE(": ",'IO List'!D80,";"),"")</f>
        <v/>
      </c>
      <c r="E80" s="33" t="str">
        <f>IF('IO List'!B80="GVL",CONCATENATE("// ",'IO List'!F80),"")</f>
        <v/>
      </c>
    </row>
    <row r="81" ht="14.25" customHeight="1">
      <c r="B81" s="33" t="str">
        <f>IF('IO List'!B81="GVL",CONCATENATE('IO List'!A81),"")</f>
        <v/>
      </c>
      <c r="C81" s="33" t="str">
        <f>IF('IO List'!B81="GVL",CONCATENATE("AT %",'IO List'!C81),"")</f>
        <v/>
      </c>
      <c r="D81" s="33" t="str">
        <f>IF('IO List'!B81="GVL",CONCATENATE(": ",'IO List'!D81,";"),"")</f>
        <v/>
      </c>
      <c r="E81" s="33" t="str">
        <f>IF('IO List'!B81="GVL",CONCATENATE("// ",'IO List'!F81),"")</f>
        <v/>
      </c>
    </row>
    <row r="82" ht="14.25" customHeight="1">
      <c r="B82" s="33" t="str">
        <f>IF('IO List'!B82="GVL",CONCATENATE('IO List'!A82),"")</f>
        <v/>
      </c>
      <c r="C82" s="33" t="str">
        <f>IF('IO List'!B82="GVL",CONCATENATE("AT %",'IO List'!C82),"")</f>
        <v/>
      </c>
      <c r="D82" s="33" t="str">
        <f>IF('IO List'!B82="GVL",CONCATENATE(": ",'IO List'!D82,";"),"")</f>
        <v/>
      </c>
      <c r="E82" s="33" t="str">
        <f>IF('IO List'!B82="GVL",CONCATENATE("// ",'IO List'!F82),"")</f>
        <v/>
      </c>
    </row>
    <row r="83" ht="14.25" customHeight="1">
      <c r="B83" s="33" t="str">
        <f>IF('IO List'!B83="GVL",CONCATENATE('IO List'!A83),"")</f>
        <v/>
      </c>
      <c r="C83" s="33" t="str">
        <f>IF('IO List'!B83="GVL",CONCATENATE("AT %",'IO List'!C83),"")</f>
        <v/>
      </c>
      <c r="D83" s="33" t="str">
        <f>IF('IO List'!B83="GVL",CONCATENATE(": ",'IO List'!D83,";"),"")</f>
        <v/>
      </c>
      <c r="E83" s="33" t="str">
        <f>IF('IO List'!B83="GVL",CONCATENATE("// ",'IO List'!F83),"")</f>
        <v/>
      </c>
    </row>
    <row r="84" ht="14.25" customHeight="1">
      <c r="B84" s="33" t="str">
        <f>IF('IO List'!B84="GVL",CONCATENATE('IO List'!A84),"")</f>
        <v/>
      </c>
      <c r="C84" s="33" t="str">
        <f>IF('IO List'!B84="GVL",CONCATENATE("AT %",'IO List'!C84),"")</f>
        <v/>
      </c>
      <c r="D84" s="33" t="str">
        <f>IF('IO List'!B84="GVL",CONCATENATE(": ",'IO List'!D84,";"),"")</f>
        <v/>
      </c>
      <c r="E84" s="33" t="str">
        <f>IF('IO List'!B84="GVL",CONCATENATE("// ",'IO List'!F84),"")</f>
        <v/>
      </c>
    </row>
    <row r="85" ht="14.25" customHeight="1">
      <c r="B85" s="33" t="str">
        <f>IF('IO List'!B85="GVL",CONCATENATE('IO List'!A85),"")</f>
        <v/>
      </c>
      <c r="C85" s="33" t="str">
        <f>IF('IO List'!B85="GVL",CONCATENATE("AT %",'IO List'!C85),"")</f>
        <v/>
      </c>
      <c r="D85" s="33" t="str">
        <f>IF('IO List'!B85="GVL",CONCATENATE(": ",'IO List'!D85,";"),"")</f>
        <v/>
      </c>
      <c r="E85" s="33" t="str">
        <f>IF('IO List'!B85="GVL",CONCATENATE("// ",'IO List'!F85),"")</f>
        <v/>
      </c>
    </row>
    <row r="86" ht="14.25" customHeight="1">
      <c r="B86" s="33" t="str">
        <f>IF('IO List'!B86="GVL",CONCATENATE('IO List'!A86),"")</f>
        <v/>
      </c>
      <c r="C86" s="33" t="str">
        <f>IF('IO List'!B86="GVL",CONCATENATE("AT %",'IO List'!C86),"")</f>
        <v/>
      </c>
      <c r="D86" s="33" t="str">
        <f>IF('IO List'!B86="GVL",CONCATENATE(": ",'IO List'!D86,";"),"")</f>
        <v/>
      </c>
      <c r="E86" s="33" t="str">
        <f>IF('IO List'!B86="GVL",CONCATENATE("// ",'IO List'!F86),"")</f>
        <v/>
      </c>
    </row>
    <row r="87" ht="14.25" customHeight="1">
      <c r="B87" s="33" t="str">
        <f>IF('IO List'!B87="GVL",CONCATENATE('IO List'!A87),"")</f>
        <v/>
      </c>
      <c r="C87" s="33" t="str">
        <f>IF('IO List'!B87="GVL",CONCATENATE("AT %",'IO List'!C87),"")</f>
        <v/>
      </c>
      <c r="D87" s="33" t="str">
        <f>IF('IO List'!B87="GVL",CONCATENATE(": ",'IO List'!D87,";"),"")</f>
        <v/>
      </c>
      <c r="E87" s="33" t="str">
        <f>IF('IO List'!B87="GVL",CONCATENATE("// ",'IO List'!F87),"")</f>
        <v/>
      </c>
    </row>
    <row r="88" ht="14.25" customHeight="1">
      <c r="B88" s="33" t="str">
        <f>IF('IO List'!B88="GVL",CONCATENATE('IO List'!A88),"")</f>
        <v/>
      </c>
      <c r="C88" s="33" t="str">
        <f>IF('IO List'!B88="GVL",CONCATENATE("AT %",'IO List'!C88),"")</f>
        <v/>
      </c>
      <c r="D88" s="33" t="str">
        <f>IF('IO List'!B88="GVL",CONCATENATE(": ",'IO List'!D88,";"),"")</f>
        <v/>
      </c>
      <c r="E88" s="33" t="str">
        <f>IF('IO List'!B88="GVL",CONCATENATE("// ",'IO List'!F88),"")</f>
        <v/>
      </c>
    </row>
    <row r="89" ht="14.25" customHeight="1">
      <c r="B89" s="33" t="str">
        <f>IF('IO List'!B89="GVL",CONCATENATE('IO List'!A89),"")</f>
        <v/>
      </c>
      <c r="C89" s="33" t="str">
        <f>IF('IO List'!B89="GVL",CONCATENATE("AT %",'IO List'!C89),"")</f>
        <v/>
      </c>
      <c r="D89" s="33" t="str">
        <f>IF('IO List'!B89="GVL",CONCATENATE(": ",'IO List'!D89,";"),"")</f>
        <v/>
      </c>
      <c r="E89" s="33" t="str">
        <f>IF('IO List'!B89="GVL",CONCATENATE("// ",'IO List'!F89),"")</f>
        <v/>
      </c>
    </row>
    <row r="90" ht="14.25" customHeight="1">
      <c r="B90" s="33" t="str">
        <f>IF('IO List'!B90="GVL",CONCATENATE('IO List'!A90),"")</f>
        <v/>
      </c>
      <c r="C90" s="33" t="str">
        <f>IF('IO List'!B90="GVL",CONCATENATE("AT %",'IO List'!C90),"")</f>
        <v/>
      </c>
      <c r="D90" s="33" t="str">
        <f>IF('IO List'!B90="GVL",CONCATENATE(": ",'IO List'!D90,";"),"")</f>
        <v/>
      </c>
      <c r="E90" s="33" t="str">
        <f>IF('IO List'!B90="GVL",CONCATENATE("// ",'IO List'!F90),"")</f>
        <v/>
      </c>
    </row>
    <row r="91" ht="14.25" customHeight="1">
      <c r="B91" s="33" t="str">
        <f>IF('IO List'!B91="GVL",CONCATENATE('IO List'!A91),"")</f>
        <v/>
      </c>
      <c r="C91" s="33" t="str">
        <f>IF('IO List'!B91="GVL",CONCATENATE("AT %",'IO List'!C91),"")</f>
        <v/>
      </c>
      <c r="D91" s="33" t="str">
        <f>IF('IO List'!B91="GVL",CONCATENATE(": ",'IO List'!D91,";"),"")</f>
        <v/>
      </c>
      <c r="E91" s="33" t="str">
        <f>IF('IO List'!B91="GVL",CONCATENATE("// ",'IO List'!F91),"")</f>
        <v/>
      </c>
    </row>
    <row r="92" ht="14.25" customHeight="1">
      <c r="B92" s="33" t="str">
        <f>IF('IO List'!B92="GVL",CONCATENATE('IO List'!A92),"")</f>
        <v/>
      </c>
      <c r="C92" s="33" t="str">
        <f>IF('IO List'!B92="GVL",CONCATENATE("AT %",'IO List'!C92),"")</f>
        <v/>
      </c>
      <c r="D92" s="33" t="str">
        <f>IF('IO List'!B92="GVL",CONCATENATE(": ",'IO List'!D92,";"),"")</f>
        <v/>
      </c>
      <c r="E92" s="33" t="str">
        <f>IF('IO List'!B92="GVL",CONCATENATE("// ",'IO List'!F92),"")</f>
        <v/>
      </c>
    </row>
    <row r="93" ht="14.25" customHeight="1">
      <c r="B93" s="33" t="str">
        <f>IF('IO List'!B93="GVL",CONCATENATE('IO List'!A93),"")</f>
        <v/>
      </c>
      <c r="C93" s="33" t="str">
        <f>IF('IO List'!B93="GVL",CONCATENATE("AT %",'IO List'!C93),"")</f>
        <v/>
      </c>
      <c r="D93" s="33" t="str">
        <f>IF('IO List'!B93="GVL",CONCATENATE(": ",'IO List'!D93,";"),"")</f>
        <v/>
      </c>
      <c r="E93" s="33" t="str">
        <f>IF('IO List'!B93="GVL",CONCATENATE("// ",'IO List'!F93),"")</f>
        <v/>
      </c>
    </row>
    <row r="94" ht="14.25" customHeight="1">
      <c r="B94" s="33" t="str">
        <f>IF('IO List'!B94="GVL",CONCATENATE('IO List'!A94),"")</f>
        <v/>
      </c>
      <c r="C94" s="33" t="str">
        <f>IF('IO List'!B94="GVL",CONCATENATE("AT %",'IO List'!C94),"")</f>
        <v/>
      </c>
      <c r="D94" s="33" t="str">
        <f>IF('IO List'!B94="GVL",CONCATENATE(": ",'IO List'!D94,";"),"")</f>
        <v/>
      </c>
      <c r="E94" s="33" t="str">
        <f>IF('IO List'!B94="GVL",CONCATENATE("// ",'IO List'!F94),"")</f>
        <v/>
      </c>
    </row>
    <row r="95" ht="14.25" customHeight="1">
      <c r="B95" s="33" t="str">
        <f>IF('IO List'!B95="GVL",CONCATENATE('IO List'!A95),"")</f>
        <v/>
      </c>
      <c r="C95" s="33" t="str">
        <f>IF('IO List'!B95="GVL",CONCATENATE("AT %",'IO List'!C95),"")</f>
        <v/>
      </c>
      <c r="D95" s="33" t="str">
        <f>IF('IO List'!B95="GVL",CONCATENATE(": ",'IO List'!D95,";"),"")</f>
        <v/>
      </c>
      <c r="E95" s="33" t="str">
        <f>IF('IO List'!B95="GVL",CONCATENATE("// ",'IO List'!F95),"")</f>
        <v/>
      </c>
    </row>
    <row r="96" ht="14.25" customHeight="1">
      <c r="B96" s="33" t="str">
        <f>IF('IO List'!B96="GVL",CONCATENATE('IO List'!A96),"")</f>
        <v/>
      </c>
      <c r="C96" s="33" t="str">
        <f>IF('IO List'!B96="GVL",CONCATENATE("AT %",'IO List'!C96),"")</f>
        <v/>
      </c>
      <c r="D96" s="33" t="str">
        <f>IF('IO List'!B96="GVL",CONCATENATE(": ",'IO List'!D96,";"),"")</f>
        <v/>
      </c>
      <c r="E96" s="33" t="str">
        <f>IF('IO List'!B96="GVL",CONCATENATE("// ",'IO List'!F96),"")</f>
        <v/>
      </c>
    </row>
    <row r="97" ht="14.25" customHeight="1">
      <c r="B97" s="33" t="str">
        <f>IF('IO List'!B97="GVL",CONCATENATE('IO List'!A97),"")</f>
        <v/>
      </c>
      <c r="C97" s="33" t="str">
        <f>IF('IO List'!B97="GVL",CONCATENATE("AT %",'IO List'!C97),"")</f>
        <v/>
      </c>
      <c r="D97" s="33" t="str">
        <f>IF('IO List'!B97="GVL",CONCATENATE(": ",'IO List'!D97,";"),"")</f>
        <v/>
      </c>
      <c r="E97" s="33" t="str">
        <f>IF('IO List'!B97="GVL",CONCATENATE("// ",'IO List'!F97),"")</f>
        <v/>
      </c>
    </row>
    <row r="98" ht="14.25" customHeight="1">
      <c r="B98" s="33" t="str">
        <f>IF('IO List'!B98="GVL",CONCATENATE('IO List'!A98),"")</f>
        <v/>
      </c>
      <c r="C98" s="33" t="str">
        <f>IF('IO List'!B98="GVL",CONCATENATE("AT %",'IO List'!C98),"")</f>
        <v/>
      </c>
      <c r="D98" s="33" t="str">
        <f>IF('IO List'!B98="GVL",CONCATENATE(": ",'IO List'!D98,";"),"")</f>
        <v/>
      </c>
      <c r="E98" s="33" t="str">
        <f>IF('IO List'!B98="GVL",CONCATENATE("// ",'IO List'!F98),"")</f>
        <v/>
      </c>
    </row>
    <row r="99" ht="14.25" customHeight="1">
      <c r="B99" s="33" t="str">
        <f>IF('IO List'!B99="GVL",CONCATENATE('IO List'!A99),"")</f>
        <v/>
      </c>
      <c r="C99" s="33" t="str">
        <f>IF('IO List'!B99="GVL",CONCATENATE("AT %",'IO List'!C99),"")</f>
        <v/>
      </c>
      <c r="D99" s="33" t="str">
        <f>IF('IO List'!B99="GVL",CONCATENATE(": ",'IO List'!D99,";"),"")</f>
        <v/>
      </c>
      <c r="E99" s="33" t="str">
        <f>IF('IO List'!B99="GVL",CONCATENATE("// ",'IO List'!F99),"")</f>
        <v/>
      </c>
    </row>
    <row r="100" ht="14.25" customHeight="1">
      <c r="B100" s="33" t="str">
        <f>IF('IO List'!B100="GVL",CONCATENATE('IO List'!A100),"")</f>
        <v/>
      </c>
      <c r="C100" s="33" t="str">
        <f>IF('IO List'!B100="GVL",CONCATENATE("AT %",'IO List'!C100),"")</f>
        <v/>
      </c>
      <c r="D100" s="33" t="str">
        <f>IF('IO List'!B100="GVL",CONCATENATE(": ",'IO List'!D100,";"),"")</f>
        <v/>
      </c>
      <c r="E100" s="33" t="str">
        <f>IF('IO List'!B100="GVL",CONCATENATE("// ",'IO List'!F100),"")</f>
        <v/>
      </c>
    </row>
    <row r="101" ht="14.25" customHeight="1">
      <c r="B101" s="33" t="str">
        <f>IF('IO List'!B101="GVL",CONCATENATE('IO List'!A101),"")</f>
        <v/>
      </c>
      <c r="C101" s="33" t="str">
        <f>IF('IO List'!B101="GVL",CONCATENATE("AT %",'IO List'!C101),"")</f>
        <v/>
      </c>
      <c r="D101" s="33" t="str">
        <f>IF('IO List'!B101="GVL",CONCATENATE(": ",'IO List'!D101,";"),"")</f>
        <v/>
      </c>
      <c r="E101" s="33" t="str">
        <f>IF('IO List'!B101="GVL",CONCATENATE("// ",'IO List'!F101),"")</f>
        <v/>
      </c>
    </row>
    <row r="102" ht="14.25" customHeight="1">
      <c r="B102" s="33" t="str">
        <f>IF('IO List'!B102="GVL",CONCATENATE('IO List'!A102),"")</f>
        <v/>
      </c>
      <c r="C102" s="33" t="str">
        <f>IF('IO List'!B102="GVL",CONCATENATE("AT %",'IO List'!C102),"")</f>
        <v/>
      </c>
      <c r="D102" s="33" t="str">
        <f>IF('IO List'!B102="GVL",CONCATENATE(": ",'IO List'!D102,";"),"")</f>
        <v/>
      </c>
      <c r="E102" s="33" t="str">
        <f>IF('IO List'!B102="GVL",CONCATENATE("// ",'IO List'!F102),"")</f>
        <v/>
      </c>
    </row>
    <row r="103" ht="14.25" customHeight="1">
      <c r="B103" s="33" t="str">
        <f>IF('IO List'!B103="GVL",CONCATENATE('IO List'!A103),"")</f>
        <v/>
      </c>
      <c r="C103" s="33" t="str">
        <f>IF('IO List'!B103="GVL",CONCATENATE("AT %",'IO List'!C103),"")</f>
        <v/>
      </c>
      <c r="D103" s="33" t="str">
        <f>IF('IO List'!B103="GVL",CONCATENATE(": ",'IO List'!D103,";"),"")</f>
        <v/>
      </c>
      <c r="E103" s="33" t="str">
        <f>IF('IO List'!B103="GVL",CONCATENATE("// ",'IO List'!F103),"")</f>
        <v/>
      </c>
    </row>
    <row r="104" ht="14.25" customHeight="1">
      <c r="B104" s="33" t="str">
        <f>IF('IO List'!B104="GVL",CONCATENATE('IO List'!A104),"")</f>
        <v/>
      </c>
      <c r="C104" s="33" t="str">
        <f>IF('IO List'!B104="GVL",CONCATENATE("AT %",'IO List'!C104),"")</f>
        <v/>
      </c>
      <c r="D104" s="33" t="str">
        <f>IF('IO List'!B104="GVL",CONCATENATE(": ",'IO List'!D104,";"),"")</f>
        <v/>
      </c>
      <c r="E104" s="33" t="str">
        <f>IF('IO List'!B104="GVL",CONCATENATE("// ",'IO List'!F104),"")</f>
        <v/>
      </c>
    </row>
    <row r="105" ht="14.25" customHeight="1">
      <c r="B105" s="33" t="str">
        <f>IF('IO List'!B105="GVL",CONCATENATE('IO List'!A105),"")</f>
        <v/>
      </c>
      <c r="C105" s="33" t="str">
        <f>IF('IO List'!B105="GVL",CONCATENATE("AT %",'IO List'!C105),"")</f>
        <v/>
      </c>
      <c r="D105" s="33" t="str">
        <f>IF('IO List'!B105="GVL",CONCATENATE(": ",'IO List'!D105,";"),"")</f>
        <v/>
      </c>
      <c r="E105" s="33" t="str">
        <f>IF('IO List'!B105="GVL",CONCATENATE("// ",'IO List'!F105),"")</f>
        <v/>
      </c>
    </row>
    <row r="106" ht="14.25" customHeight="1">
      <c r="B106" s="33" t="str">
        <f>IF('IO List'!B106="GVL",CONCATENATE('IO List'!A106),"")</f>
        <v/>
      </c>
      <c r="C106" s="33" t="str">
        <f>IF('IO List'!B106="GVL",CONCATENATE("AT %",'IO List'!C106),"")</f>
        <v/>
      </c>
      <c r="D106" s="33" t="str">
        <f>IF('IO List'!B106="GVL",CONCATENATE(": ",'IO List'!D106,";"),"")</f>
        <v/>
      </c>
      <c r="E106" s="33" t="str">
        <f>IF('IO List'!B106="GVL",CONCATENATE("// ",'IO List'!F106),"")</f>
        <v/>
      </c>
    </row>
    <row r="107" ht="14.25" customHeight="1">
      <c r="B107" s="33" t="str">
        <f>IF('IO List'!B107="GVL",CONCATENATE('IO List'!A107),"")</f>
        <v/>
      </c>
      <c r="C107" s="33" t="str">
        <f>IF('IO List'!B107="GVL",CONCATENATE("AT %",'IO List'!C107),"")</f>
        <v/>
      </c>
      <c r="D107" s="33" t="str">
        <f>IF('IO List'!B107="GVL",CONCATENATE(": ",'IO List'!D107,";"),"")</f>
        <v/>
      </c>
      <c r="E107" s="33" t="str">
        <f>IF('IO List'!B107="GVL",CONCATENATE("// ",'IO List'!F107),"")</f>
        <v/>
      </c>
    </row>
    <row r="108" ht="14.25" customHeight="1">
      <c r="B108" s="33" t="str">
        <f>IF('IO List'!B108="GVL",CONCATENATE('IO List'!A108),"")</f>
        <v/>
      </c>
      <c r="C108" s="33" t="str">
        <f>IF('IO List'!B108="GVL",CONCATENATE("AT %",'IO List'!C108),"")</f>
        <v/>
      </c>
      <c r="D108" s="33" t="str">
        <f>IF('IO List'!B108="GVL",CONCATENATE(": ",'IO List'!D108,";"),"")</f>
        <v/>
      </c>
      <c r="E108" s="33" t="str">
        <f>IF('IO List'!B108="GVL",CONCATENATE("// ",'IO List'!F108),"")</f>
        <v/>
      </c>
    </row>
    <row r="109" ht="14.25" customHeight="1">
      <c r="B109" s="33" t="str">
        <f>IF('IO List'!B109="GVL",CONCATENATE('IO List'!A109),"")</f>
        <v/>
      </c>
      <c r="C109" s="33" t="str">
        <f>IF('IO List'!B109="GVL",CONCATENATE("AT %",'IO List'!C109),"")</f>
        <v/>
      </c>
      <c r="D109" s="33" t="str">
        <f>IF('IO List'!B109="GVL",CONCATENATE(": ",'IO List'!D109,";"),"")</f>
        <v/>
      </c>
      <c r="E109" s="33" t="str">
        <f>IF('IO List'!B109="GVL",CONCATENATE("// ",'IO List'!F109),"")</f>
        <v/>
      </c>
    </row>
    <row r="110" ht="14.25" customHeight="1">
      <c r="B110" s="33" t="str">
        <f>IF('IO List'!B110="GVL",CONCATENATE('IO List'!A110),"")</f>
        <v/>
      </c>
      <c r="C110" s="33" t="str">
        <f>IF('IO List'!B110="GVL",CONCATENATE("AT %",'IO List'!C110),"")</f>
        <v/>
      </c>
      <c r="D110" s="33" t="str">
        <f>IF('IO List'!B110="GVL",CONCATENATE(": ",'IO List'!D110,";"),"")</f>
        <v/>
      </c>
      <c r="E110" s="33" t="str">
        <f>IF('IO List'!B110="GVL",CONCATENATE("// ",'IO List'!F110),"")</f>
        <v/>
      </c>
    </row>
    <row r="111" ht="14.25" customHeight="1">
      <c r="B111" s="33" t="str">
        <f>IF('IO List'!B111="GVL",CONCATENATE('IO List'!A111),"")</f>
        <v/>
      </c>
      <c r="C111" s="33" t="str">
        <f>IF('IO List'!B111="GVL",CONCATENATE("AT %",'IO List'!C111),"")</f>
        <v/>
      </c>
      <c r="D111" s="33" t="str">
        <f>IF('IO List'!B111="GVL",CONCATENATE(": ",'IO List'!D111,";"),"")</f>
        <v/>
      </c>
      <c r="E111" s="33" t="str">
        <f>IF('IO List'!B111="GVL",CONCATENATE("// ",'IO List'!F111),"")</f>
        <v/>
      </c>
    </row>
    <row r="112" ht="14.25" customHeight="1">
      <c r="B112" s="33" t="str">
        <f>IF('IO List'!B112="GVL",CONCATENATE('IO List'!A112),"")</f>
        <v/>
      </c>
      <c r="C112" s="33" t="str">
        <f>IF('IO List'!B112="GVL",CONCATENATE("AT %",'IO List'!C112),"")</f>
        <v/>
      </c>
      <c r="D112" s="33" t="str">
        <f>IF('IO List'!B112="GVL",CONCATENATE(": ",'IO List'!D112,";"),"")</f>
        <v/>
      </c>
      <c r="E112" s="33" t="str">
        <f>IF('IO List'!B112="GVL",CONCATENATE("// ",'IO List'!F112),"")</f>
        <v/>
      </c>
    </row>
    <row r="113" ht="14.25" customHeight="1">
      <c r="B113" s="33" t="str">
        <f>IF('IO List'!B113="GVL",CONCATENATE('IO List'!A113),"")</f>
        <v/>
      </c>
      <c r="C113" s="33" t="str">
        <f>IF('IO List'!B113="GVL",CONCATENATE("AT %",'IO List'!C113),"")</f>
        <v/>
      </c>
      <c r="D113" s="33" t="str">
        <f>IF('IO List'!B113="GVL",CONCATENATE(": ",'IO List'!D113,";"),"")</f>
        <v/>
      </c>
      <c r="E113" s="33" t="str">
        <f>IF('IO List'!B113="GVL",CONCATENATE("// ",'IO List'!F113),"")</f>
        <v/>
      </c>
    </row>
    <row r="114" ht="14.25" customHeight="1">
      <c r="B114" s="33" t="str">
        <f>IF('IO List'!B114="GVL",CONCATENATE('IO List'!A114),"")</f>
        <v/>
      </c>
      <c r="C114" s="33" t="str">
        <f>IF('IO List'!B114="GVL",CONCATENATE("AT %",'IO List'!C114),"")</f>
        <v/>
      </c>
      <c r="D114" s="33" t="str">
        <f>IF('IO List'!B114="GVL",CONCATENATE(": ",'IO List'!D114,";"),"")</f>
        <v/>
      </c>
      <c r="E114" s="33" t="str">
        <f>IF('IO List'!B114="GVL",CONCATENATE("// ",'IO List'!F114),"")</f>
        <v/>
      </c>
    </row>
    <row r="115" ht="14.25" customHeight="1">
      <c r="B115" s="33" t="str">
        <f>IF('IO List'!B115="GVL",CONCATENATE('IO List'!A115),"")</f>
        <v/>
      </c>
      <c r="C115" s="33" t="str">
        <f>IF('IO List'!B115="GVL",CONCATENATE("AT %",'IO List'!C115),"")</f>
        <v/>
      </c>
      <c r="D115" s="33" t="str">
        <f>IF('IO List'!B115="GVL",CONCATENATE(": ",'IO List'!D115,";"),"")</f>
        <v/>
      </c>
      <c r="E115" s="33" t="str">
        <f>IF('IO List'!B115="GVL",CONCATENATE("// ",'IO List'!F115),"")</f>
        <v/>
      </c>
    </row>
    <row r="116" ht="14.25" customHeight="1">
      <c r="B116" s="33" t="str">
        <f>IF('IO List'!B116="GVL",CONCATENATE('IO List'!A116),"")</f>
        <v/>
      </c>
      <c r="C116" s="33" t="str">
        <f>IF('IO List'!B116="GVL",CONCATENATE("AT %",'IO List'!C116),"")</f>
        <v/>
      </c>
      <c r="D116" s="33" t="str">
        <f>IF('IO List'!B116="GVL",CONCATENATE(": ",'IO List'!D116,";"),"")</f>
        <v/>
      </c>
      <c r="E116" s="33" t="str">
        <f>IF('IO List'!B116="GVL",CONCATENATE("// ",'IO List'!F116),"")</f>
        <v/>
      </c>
    </row>
    <row r="117" ht="14.25" customHeight="1">
      <c r="B117" s="33" t="str">
        <f>IF('IO List'!B117="GVL",CONCATENATE('IO List'!A117),"")</f>
        <v/>
      </c>
      <c r="C117" s="33" t="str">
        <f>IF('IO List'!B117="GVL",CONCATENATE("AT %",'IO List'!C117),"")</f>
        <v/>
      </c>
      <c r="D117" s="33" t="str">
        <f>IF('IO List'!B117="GVL",CONCATENATE(": ",'IO List'!D117,";"),"")</f>
        <v/>
      </c>
      <c r="E117" s="33" t="str">
        <f>IF('IO List'!B117="GVL",CONCATENATE("// ",'IO List'!F117),"")</f>
        <v/>
      </c>
    </row>
    <row r="118" ht="14.25" customHeight="1">
      <c r="B118" s="33" t="str">
        <f>IF('IO List'!B118="GVL",CONCATENATE('IO List'!A118),"")</f>
        <v/>
      </c>
      <c r="C118" s="33" t="str">
        <f>IF('IO List'!B118="GVL",CONCATENATE("AT %",'IO List'!C118),"")</f>
        <v/>
      </c>
      <c r="D118" s="33" t="str">
        <f>IF('IO List'!B118="GVL",CONCATENATE(": ",'IO List'!D118,";"),"")</f>
        <v/>
      </c>
      <c r="E118" s="33" t="str">
        <f>IF('IO List'!B118="GVL",CONCATENATE("// ",'IO List'!F118),"")</f>
        <v/>
      </c>
    </row>
    <row r="119" ht="14.25" customHeight="1">
      <c r="B119" s="33" t="str">
        <f>IF('IO List'!B119="GVL",CONCATENATE('IO List'!A119),"")</f>
        <v/>
      </c>
      <c r="C119" s="33" t="str">
        <f>IF('IO List'!B119="GVL",CONCATENATE("AT %",'IO List'!C119),"")</f>
        <v/>
      </c>
      <c r="D119" s="33" t="str">
        <f>IF('IO List'!B119="GVL",CONCATENATE(": ",'IO List'!D119,";"),"")</f>
        <v/>
      </c>
      <c r="E119" s="33" t="str">
        <f>IF('IO List'!B119="GVL",CONCATENATE("// ",'IO List'!F119),"")</f>
        <v/>
      </c>
    </row>
    <row r="120" ht="14.25" customHeight="1">
      <c r="B120" s="33" t="str">
        <f>IF('IO List'!B120="GVL",CONCATENATE('IO List'!A120),"")</f>
        <v/>
      </c>
      <c r="C120" s="33" t="str">
        <f>IF('IO List'!B120="GVL",CONCATENATE("AT %",'IO List'!C120),"")</f>
        <v/>
      </c>
      <c r="D120" s="33" t="str">
        <f>IF('IO List'!B120="GVL",CONCATENATE(": ",'IO List'!D120,";"),"")</f>
        <v/>
      </c>
      <c r="E120" s="33" t="str">
        <f>IF('IO List'!B120="GVL",CONCATENATE("// ",'IO List'!F120),"")</f>
        <v/>
      </c>
    </row>
    <row r="121" ht="14.25" customHeight="1">
      <c r="B121" s="33" t="str">
        <f>IF('IO List'!B121="GVL",CONCATENATE('IO List'!A121),"")</f>
        <v/>
      </c>
      <c r="C121" s="33" t="str">
        <f>IF('IO List'!B121="GVL",CONCATENATE("AT %",'IO List'!C121),"")</f>
        <v/>
      </c>
      <c r="D121" s="33" t="str">
        <f>IF('IO List'!B121="GVL",CONCATENATE(": ",'IO List'!D121,";"),"")</f>
        <v/>
      </c>
      <c r="E121" s="33" t="str">
        <f>IF('IO List'!B121="GVL",CONCATENATE("// ",'IO List'!F121),"")</f>
        <v/>
      </c>
    </row>
    <row r="122" ht="14.25" customHeight="1">
      <c r="B122" s="33" t="str">
        <f>IF('IO List'!B122="GVL",CONCATENATE('IO List'!A122),"")</f>
        <v/>
      </c>
      <c r="C122" s="33" t="str">
        <f>IF('IO List'!B122="GVL",CONCATENATE("AT %",'IO List'!C122),"")</f>
        <v/>
      </c>
      <c r="D122" s="33" t="str">
        <f>IF('IO List'!B122="GVL",CONCATENATE(": ",'IO List'!D122,";"),"")</f>
        <v/>
      </c>
      <c r="E122" s="33" t="str">
        <f>IF('IO List'!B122="GVL",CONCATENATE("// ",'IO List'!F122),"")</f>
        <v/>
      </c>
    </row>
    <row r="123" ht="14.25" customHeight="1">
      <c r="B123" s="33" t="str">
        <f>IF('IO List'!B123="GVL",CONCATENATE('IO List'!A123),"")</f>
        <v/>
      </c>
      <c r="C123" s="33" t="str">
        <f>IF('IO List'!B123="GVL",CONCATENATE("AT %",'IO List'!C123),"")</f>
        <v/>
      </c>
      <c r="D123" s="33" t="str">
        <f>IF('IO List'!B123="GVL",CONCATENATE(": ",'IO List'!D123,";"),"")</f>
        <v/>
      </c>
      <c r="E123" s="33" t="str">
        <f>IF('IO List'!B123="GVL",CONCATENATE("// ",'IO List'!F123),"")</f>
        <v/>
      </c>
    </row>
    <row r="124" ht="14.25" customHeight="1">
      <c r="B124" s="33" t="str">
        <f>IF('IO List'!B124="GVL",CONCATENATE('IO List'!A124),"")</f>
        <v/>
      </c>
      <c r="C124" s="33" t="str">
        <f>IF('IO List'!B124="GVL",CONCATENATE("AT %",'IO List'!C124),"")</f>
        <v/>
      </c>
      <c r="D124" s="33" t="str">
        <f>IF('IO List'!B124="GVL",CONCATENATE(": ",'IO List'!D124,";"),"")</f>
        <v/>
      </c>
      <c r="E124" s="33" t="str">
        <f>IF('IO List'!B124="GVL",CONCATENATE("// ",'IO List'!F124),"")</f>
        <v/>
      </c>
    </row>
    <row r="125" ht="14.25" customHeight="1">
      <c r="B125" s="33" t="str">
        <f>IF('IO List'!B125="GVL",CONCATENATE('IO List'!A125),"")</f>
        <v/>
      </c>
      <c r="C125" s="33" t="str">
        <f>IF('IO List'!B125="GVL",CONCATENATE("AT %",'IO List'!C125),"")</f>
        <v/>
      </c>
      <c r="D125" s="33" t="str">
        <f>IF('IO List'!B125="GVL",CONCATENATE(": ",'IO List'!D125,";"),"")</f>
        <v/>
      </c>
      <c r="E125" s="33" t="str">
        <f>IF('IO List'!B125="GVL",CONCATENATE("// ",'IO List'!F125),"")</f>
        <v/>
      </c>
    </row>
    <row r="126" ht="14.25" customHeight="1">
      <c r="B126" s="33" t="str">
        <f>IF('IO List'!B126="GVL",CONCATENATE('IO List'!A126),"")</f>
        <v/>
      </c>
      <c r="C126" s="33" t="str">
        <f>IF('IO List'!B126="GVL",CONCATENATE("AT %",'IO List'!C126),"")</f>
        <v/>
      </c>
      <c r="D126" s="33" t="str">
        <f>IF('IO List'!B126="GVL",CONCATENATE(": ",'IO List'!D126,";"),"")</f>
        <v/>
      </c>
      <c r="E126" s="33" t="str">
        <f>IF('IO List'!B126="GVL",CONCATENATE("// ",'IO List'!F126),"")</f>
        <v/>
      </c>
    </row>
    <row r="127" ht="14.25" customHeight="1">
      <c r="B127" s="33" t="str">
        <f>IF('IO List'!B127="GVL",CONCATENATE('IO List'!A127),"")</f>
        <v/>
      </c>
      <c r="C127" s="33" t="str">
        <f>IF('IO List'!B127="GVL",CONCATENATE("AT %",'IO List'!C127),"")</f>
        <v/>
      </c>
      <c r="D127" s="33" t="str">
        <f>IF('IO List'!B127="GVL",CONCATENATE(": ",'IO List'!D127,";"),"")</f>
        <v/>
      </c>
      <c r="E127" s="33" t="str">
        <f>IF('IO List'!B127="GVL",CONCATENATE("// ",'IO List'!F127),"")</f>
        <v/>
      </c>
    </row>
    <row r="128" ht="14.25" customHeight="1">
      <c r="B128" s="33" t="str">
        <f>IF('IO List'!B128="GVL",CONCATENATE('IO List'!A128),"")</f>
        <v/>
      </c>
      <c r="C128" s="33" t="str">
        <f>IF('IO List'!B128="GVL",CONCATENATE("AT %",'IO List'!C128),"")</f>
        <v/>
      </c>
      <c r="D128" s="33" t="str">
        <f>IF('IO List'!B128="GVL",CONCATENATE(": ",'IO List'!D128,";"),"")</f>
        <v/>
      </c>
      <c r="E128" s="33" t="str">
        <f>IF('IO List'!B128="GVL",CONCATENATE("// ",'IO List'!F128),"")</f>
        <v/>
      </c>
    </row>
    <row r="129" ht="14.25" customHeight="1">
      <c r="B129" s="33" t="str">
        <f>IF('IO List'!B129="GVL",CONCATENATE('IO List'!A129),"")</f>
        <v/>
      </c>
      <c r="C129" s="33" t="str">
        <f>IF('IO List'!B129="GVL",CONCATENATE("AT %",'IO List'!C129),"")</f>
        <v/>
      </c>
      <c r="D129" s="33" t="str">
        <f>IF('IO List'!B129="GVL",CONCATENATE(": ",'IO List'!D129,";"),"")</f>
        <v/>
      </c>
      <c r="E129" s="33" t="str">
        <f>IF('IO List'!B129="GVL",CONCATENATE("// ",'IO List'!F129),"")</f>
        <v/>
      </c>
    </row>
    <row r="130" ht="14.25" customHeight="1">
      <c r="B130" s="33" t="str">
        <f>IF('IO List'!B130="GVL",CONCATENATE('IO List'!A130),"")</f>
        <v/>
      </c>
      <c r="C130" s="33" t="str">
        <f>IF('IO List'!B130="GVL",CONCATENATE("AT %",'IO List'!C130),"")</f>
        <v/>
      </c>
      <c r="D130" s="33" t="str">
        <f>IF('IO List'!B130="GVL",CONCATENATE(": ",'IO List'!D130,";"),"")</f>
        <v/>
      </c>
      <c r="E130" s="33" t="str">
        <f>IF('IO List'!B130="GVL",CONCATENATE("// ",'IO List'!F130),"")</f>
        <v/>
      </c>
    </row>
    <row r="131" ht="14.25" customHeight="1">
      <c r="B131" s="33" t="str">
        <f>IF('IO List'!B131="GVL",CONCATENATE('IO List'!A131),"")</f>
        <v/>
      </c>
      <c r="C131" s="33" t="str">
        <f>IF('IO List'!B131="GVL",CONCATENATE("AT %",'IO List'!C131),"")</f>
        <v/>
      </c>
      <c r="D131" s="33" t="str">
        <f>IF('IO List'!B131="GVL",CONCATENATE(": ",'IO List'!D131,";"),"")</f>
        <v/>
      </c>
      <c r="E131" s="33" t="str">
        <f>IF('IO List'!B131="GVL",CONCATENATE("// ",'IO List'!F131),"")</f>
        <v/>
      </c>
    </row>
    <row r="132" ht="14.25" customHeight="1">
      <c r="B132" s="33" t="str">
        <f>IF('IO List'!B132="GVL",CONCATENATE('IO List'!A132),"")</f>
        <v/>
      </c>
      <c r="C132" s="33" t="str">
        <f>IF('IO List'!B132="GVL",CONCATENATE("AT %",'IO List'!C132),"")</f>
        <v/>
      </c>
      <c r="D132" s="33" t="str">
        <f>IF('IO List'!B132="GVL",CONCATENATE(": ",'IO List'!D132,";"),"")</f>
        <v/>
      </c>
      <c r="E132" s="33" t="str">
        <f>IF('IO List'!B132="GVL",CONCATENATE("// ",'IO List'!F132),"")</f>
        <v/>
      </c>
    </row>
    <row r="133" ht="14.25" customHeight="1">
      <c r="B133" s="33" t="str">
        <f>IF('IO List'!B133="GVL",CONCATENATE('IO List'!A133),"")</f>
        <v/>
      </c>
      <c r="C133" s="33" t="str">
        <f>IF('IO List'!B133="GVL",CONCATENATE("AT %",'IO List'!C133),"")</f>
        <v/>
      </c>
      <c r="D133" s="33" t="str">
        <f>IF('IO List'!B133="GVL",CONCATENATE(": ",'IO List'!D133,";"),"")</f>
        <v/>
      </c>
      <c r="E133" s="33" t="str">
        <f>IF('IO List'!B133="GVL",CONCATENATE("// ",'IO List'!F133),"")</f>
        <v/>
      </c>
    </row>
    <row r="134" ht="14.25" customHeight="1">
      <c r="B134" s="33" t="str">
        <f>IF('IO List'!B134="GVL",CONCATENATE('IO List'!A134),"")</f>
        <v/>
      </c>
      <c r="C134" s="33" t="str">
        <f>IF('IO List'!B134="GVL",CONCATENATE("AT %",'IO List'!C134),"")</f>
        <v/>
      </c>
      <c r="D134" s="33" t="str">
        <f>IF('IO List'!B134="GVL",CONCATENATE(": ",'IO List'!D134,";"),"")</f>
        <v/>
      </c>
      <c r="E134" s="33" t="str">
        <f>IF('IO List'!B134="GVL",CONCATENATE("// ",'IO List'!F134),"")</f>
        <v/>
      </c>
    </row>
    <row r="135" ht="14.25" customHeight="1">
      <c r="B135" s="33" t="str">
        <f>IF('IO List'!B135="GVL",CONCATENATE('IO List'!A135),"")</f>
        <v/>
      </c>
      <c r="C135" s="33" t="str">
        <f>IF('IO List'!B135="GVL",CONCATENATE("AT %",'IO List'!C135),"")</f>
        <v/>
      </c>
      <c r="D135" s="33" t="str">
        <f>IF('IO List'!B135="GVL",CONCATENATE(": ",'IO List'!D135,";"),"")</f>
        <v/>
      </c>
      <c r="E135" s="33" t="str">
        <f>IF('IO List'!B135="GVL",CONCATENATE("// ",'IO List'!F135),"")</f>
        <v/>
      </c>
    </row>
    <row r="136" ht="14.25" customHeight="1">
      <c r="B136" s="33" t="str">
        <f>IF('IO List'!B136="GVL",CONCATENATE('IO List'!A136),"")</f>
        <v/>
      </c>
      <c r="C136" s="33" t="str">
        <f>IF('IO List'!B136="GVL",CONCATENATE("AT %",'IO List'!C136),"")</f>
        <v/>
      </c>
      <c r="D136" s="33" t="str">
        <f>IF('IO List'!B136="GVL",CONCATENATE(": ",'IO List'!D136,";"),"")</f>
        <v/>
      </c>
      <c r="E136" s="33" t="str">
        <f>IF('IO List'!B136="GVL",CONCATENATE("// ",'IO List'!F136),"")</f>
        <v/>
      </c>
    </row>
    <row r="137" ht="14.25" customHeight="1">
      <c r="B137" s="33" t="str">
        <f>IF('IO List'!B137="GVL",CONCATENATE('IO List'!A137),"")</f>
        <v/>
      </c>
      <c r="C137" s="33" t="str">
        <f>IF('IO List'!B137="GVL",CONCATENATE("AT %",'IO List'!C137),"")</f>
        <v/>
      </c>
      <c r="D137" s="33" t="str">
        <f>IF('IO List'!B137="GVL",CONCATENATE(": ",'IO List'!D137,";"),"")</f>
        <v/>
      </c>
      <c r="E137" s="33" t="str">
        <f>IF('IO List'!B137="GVL",CONCATENATE("// ",'IO List'!F137),"")</f>
        <v/>
      </c>
    </row>
    <row r="138" ht="14.25" customHeight="1">
      <c r="B138" s="33" t="str">
        <f>IF('IO List'!B138="GVL",CONCATENATE('IO List'!A138),"")</f>
        <v/>
      </c>
      <c r="C138" s="33" t="str">
        <f>IF('IO List'!B138="GVL",CONCATENATE("AT %",'IO List'!C138),"")</f>
        <v/>
      </c>
      <c r="D138" s="33" t="str">
        <f>IF('IO List'!B138="GVL",CONCATENATE(": ",'IO List'!D138,";"),"")</f>
        <v/>
      </c>
      <c r="E138" s="33" t="str">
        <f>IF('IO List'!B138="GVL",CONCATENATE("// ",'IO List'!F138),"")</f>
        <v/>
      </c>
    </row>
    <row r="139" ht="14.25" customHeight="1">
      <c r="B139" s="33" t="str">
        <f>IF('IO List'!B139="GVL",CONCATENATE('IO List'!A139),"")</f>
        <v/>
      </c>
      <c r="C139" s="33" t="str">
        <f>IF('IO List'!B139="GVL",CONCATENATE("AT %",'IO List'!C139),"")</f>
        <v/>
      </c>
      <c r="D139" s="33" t="str">
        <f>IF('IO List'!B139="GVL",CONCATENATE(": ",'IO List'!D139,";"),"")</f>
        <v/>
      </c>
      <c r="E139" s="33" t="str">
        <f>IF('IO List'!B139="GVL",CONCATENATE("// ",'IO List'!F139),"")</f>
        <v/>
      </c>
    </row>
    <row r="140" ht="14.25" customHeight="1">
      <c r="B140" s="33" t="str">
        <f>IF('IO List'!B140="GVL",CONCATENATE('IO List'!A140),"")</f>
        <v/>
      </c>
      <c r="C140" s="33" t="str">
        <f>IF('IO List'!B140="GVL",CONCATENATE("AT %",'IO List'!C140),"")</f>
        <v/>
      </c>
      <c r="D140" s="33" t="str">
        <f>IF('IO List'!B140="GVL",CONCATENATE(": ",'IO List'!D140,";"),"")</f>
        <v/>
      </c>
      <c r="E140" s="33" t="str">
        <f>IF('IO List'!B140="GVL",CONCATENATE("// ",'IO List'!F140),"")</f>
        <v/>
      </c>
    </row>
    <row r="141" ht="14.25" customHeight="1">
      <c r="B141" s="33" t="str">
        <f>IF('IO List'!B141="GVL",CONCATENATE('IO List'!A141),"")</f>
        <v/>
      </c>
      <c r="C141" s="33" t="str">
        <f>IF('IO List'!B141="GVL",CONCATENATE("AT %",'IO List'!C141),"")</f>
        <v/>
      </c>
      <c r="D141" s="33" t="str">
        <f>IF('IO List'!B141="GVL",CONCATENATE(": ",'IO List'!D141,";"),"")</f>
        <v/>
      </c>
      <c r="E141" s="33" t="str">
        <f>IF('IO List'!B141="GVL",CONCATENATE("// ",'IO List'!F141),"")</f>
        <v/>
      </c>
    </row>
    <row r="142" ht="14.25" customHeight="1">
      <c r="B142" s="33" t="str">
        <f>IF('IO List'!B142="GVL",CONCATENATE('IO List'!A142),"")</f>
        <v/>
      </c>
      <c r="C142" s="33" t="str">
        <f>IF('IO List'!B142="GVL",CONCATENATE("AT %",'IO List'!C142),"")</f>
        <v/>
      </c>
      <c r="D142" s="33" t="str">
        <f>IF('IO List'!B142="GVL",CONCATENATE(": ",'IO List'!D142,";"),"")</f>
        <v/>
      </c>
      <c r="E142" s="33" t="str">
        <f>IF('IO List'!B142="GVL",CONCATENATE("// ",'IO List'!F142),"")</f>
        <v/>
      </c>
    </row>
    <row r="143" ht="14.25" customHeight="1">
      <c r="B143" s="33" t="str">
        <f>IF('IO List'!B143="GVL",CONCATENATE('IO List'!A143),"")</f>
        <v/>
      </c>
      <c r="C143" s="33" t="str">
        <f>IF('IO List'!B143="GVL",CONCATENATE("AT %",'IO List'!C143),"")</f>
        <v/>
      </c>
      <c r="D143" s="33" t="str">
        <f>IF('IO List'!B143="GVL",CONCATENATE(": ",'IO List'!D143,";"),"")</f>
        <v/>
      </c>
      <c r="E143" s="33" t="str">
        <f>IF('IO List'!B143="GVL",CONCATENATE("// ",'IO List'!F143),"")</f>
        <v/>
      </c>
    </row>
    <row r="144" ht="14.25" customHeight="1">
      <c r="B144" s="33" t="str">
        <f>IF('IO List'!B144="GVL",CONCATENATE('IO List'!A144),"")</f>
        <v/>
      </c>
      <c r="C144" s="33" t="str">
        <f>IF('IO List'!B144="GVL",CONCATENATE("AT %",'IO List'!C144),"")</f>
        <v/>
      </c>
      <c r="D144" s="33" t="str">
        <f>IF('IO List'!B144="GVL",CONCATENATE(": ",'IO List'!D144,";"),"")</f>
        <v/>
      </c>
      <c r="E144" s="33" t="str">
        <f>IF('IO List'!B144="GVL",CONCATENATE("// ",'IO List'!F144),"")</f>
        <v/>
      </c>
    </row>
    <row r="145" ht="14.25" customHeight="1">
      <c r="B145" s="33" t="str">
        <f>IF('IO List'!B145="GVL",CONCATENATE('IO List'!A145),"")</f>
        <v/>
      </c>
      <c r="C145" s="33" t="str">
        <f>IF('IO List'!B145="GVL",CONCATENATE("AT %",'IO List'!C145),"")</f>
        <v/>
      </c>
      <c r="D145" s="33" t="str">
        <f>IF('IO List'!B145="GVL",CONCATENATE(": ",'IO List'!D145,";"),"")</f>
        <v/>
      </c>
      <c r="E145" s="33" t="str">
        <f>IF('IO List'!B145="GVL",CONCATENATE("// ",'IO List'!F145),"")</f>
        <v/>
      </c>
    </row>
    <row r="146" ht="14.25" customHeight="1">
      <c r="B146" s="33" t="str">
        <f>IF('IO List'!B146="GVL",CONCATENATE('IO List'!A146),"")</f>
        <v/>
      </c>
      <c r="C146" s="33" t="str">
        <f>IF('IO List'!B146="GVL",CONCATENATE("AT %",'IO List'!C146),"")</f>
        <v/>
      </c>
      <c r="D146" s="33" t="str">
        <f>IF('IO List'!B146="GVL",CONCATENATE(": ",'IO List'!D146,";"),"")</f>
        <v/>
      </c>
      <c r="E146" s="33" t="str">
        <f>IF('IO List'!B146="GVL",CONCATENATE("// ",'IO List'!F146),"")</f>
        <v/>
      </c>
    </row>
    <row r="147" ht="14.25" customHeight="1">
      <c r="B147" s="33" t="str">
        <f>IF('IO List'!B147="GVL",CONCATENATE('IO List'!A147),"")</f>
        <v/>
      </c>
      <c r="C147" s="33" t="str">
        <f>IF('IO List'!B147="GVL",CONCATENATE("AT %",'IO List'!C147),"")</f>
        <v/>
      </c>
      <c r="D147" s="33" t="str">
        <f>IF('IO List'!B147="GVL",CONCATENATE(": ",'IO List'!D147,";"),"")</f>
        <v/>
      </c>
      <c r="E147" s="33" t="str">
        <f>IF('IO List'!B147="GVL",CONCATENATE("// ",'IO List'!F147),"")</f>
        <v/>
      </c>
    </row>
    <row r="148" ht="14.25" customHeight="1">
      <c r="B148" s="33" t="str">
        <f>IF('IO List'!B148="GVL",CONCATENATE('IO List'!A148),"")</f>
        <v/>
      </c>
      <c r="C148" s="33" t="str">
        <f>IF('IO List'!B148="GVL",CONCATENATE("AT %",'IO List'!C148),"")</f>
        <v/>
      </c>
      <c r="D148" s="33" t="str">
        <f>IF('IO List'!B148="GVL",CONCATENATE(": ",'IO List'!D148,";"),"")</f>
        <v/>
      </c>
      <c r="E148" s="33" t="str">
        <f>IF('IO List'!B148="GVL",CONCATENATE("// ",'IO List'!F148),"")</f>
        <v/>
      </c>
    </row>
    <row r="149" ht="14.25" customHeight="1">
      <c r="B149" s="33" t="str">
        <f>IF('IO List'!B149="GVL",CONCATENATE('IO List'!A149),"")</f>
        <v/>
      </c>
      <c r="C149" s="33" t="str">
        <f>IF('IO List'!B149="GVL",CONCATENATE("AT %",'IO List'!C149),"")</f>
        <v/>
      </c>
      <c r="D149" s="33" t="str">
        <f>IF('IO List'!B149="GVL",CONCATENATE(": ",'IO List'!D149,";"),"")</f>
        <v/>
      </c>
      <c r="E149" s="33" t="str">
        <f>IF('IO List'!B149="GVL",CONCATENATE("// ",'IO List'!F149),"")</f>
        <v/>
      </c>
    </row>
    <row r="150" ht="14.25" customHeight="1">
      <c r="B150" s="33" t="str">
        <f>IF('IO List'!B150="GVL",CONCATENATE('IO List'!A150),"")</f>
        <v/>
      </c>
      <c r="C150" s="33" t="str">
        <f>IF('IO List'!B150="GVL",CONCATENATE("AT %",'IO List'!C150),"")</f>
        <v/>
      </c>
      <c r="D150" s="33" t="str">
        <f>IF('IO List'!B150="GVL",CONCATENATE(": ",'IO List'!D150,";"),"")</f>
        <v/>
      </c>
      <c r="E150" s="33" t="str">
        <f>IF('IO List'!B150="GVL",CONCATENATE("// ",'IO List'!F150),"")</f>
        <v/>
      </c>
    </row>
    <row r="151" ht="14.25" customHeight="1">
      <c r="B151" s="33" t="str">
        <f>IF('IO List'!B151="GVL",CONCATENATE('IO List'!A151),"")</f>
        <v>SOP720_K1</v>
      </c>
      <c r="C151" s="33" t="str">
        <f>IF('IO List'!B151="GVL",CONCATENATE("AT %",'IO List'!C151),"")</f>
        <v>AT %QX3.2</v>
      </c>
      <c r="D151" s="33" t="str">
        <f>IF('IO List'!B151="GVL",CONCATENATE(": ",'IO List'!D151,";"),"")</f>
        <v>: BOOL;</v>
      </c>
      <c r="E151" s="33" t="str">
        <f>IF('IO List'!B151="GVL",CONCATENATE("// ",'IO List'!F151),"")</f>
        <v>// Dispensor clamp 1 ON. Orden de que se cierre</v>
      </c>
    </row>
    <row r="152" ht="14.25" customHeight="1">
      <c r="B152" s="33" t="str">
        <f>IF('IO List'!B152="GVL",CONCATENATE('IO List'!A152),"")</f>
        <v>SOP720_K2</v>
      </c>
      <c r="C152" s="33" t="str">
        <f>IF('IO List'!B152="GVL",CONCATENATE("AT %",'IO List'!C152),"")</f>
        <v>AT %QX3.3</v>
      </c>
      <c r="D152" s="33" t="str">
        <f>IF('IO List'!B152="GVL",CONCATENATE(": ",'IO List'!D152,";"),"")</f>
        <v>: BOOL;</v>
      </c>
      <c r="E152" s="33" t="str">
        <f>IF('IO List'!B152="GVL",CONCATENATE("// ",'IO List'!F152),"")</f>
        <v>// Dispensor clamp 1 OFF. Orden de que se abra</v>
      </c>
    </row>
    <row r="153" ht="14.25" customHeight="1">
      <c r="B153" s="33" t="str">
        <f>IF('IO List'!B153="GVL",CONCATENATE('IO List'!A153),"")</f>
        <v/>
      </c>
      <c r="C153" s="33" t="str">
        <f>IF('IO List'!B153="GVL",CONCATENATE("AT %",'IO List'!C153),"")</f>
        <v/>
      </c>
      <c r="D153" s="33" t="str">
        <f>IF('IO List'!B153="GVL",CONCATENATE(": ",'IO List'!D153,";"),"")</f>
        <v/>
      </c>
      <c r="E153" s="33" t="str">
        <f>IF('IO List'!B153="GVL",CONCATENATE("// ",'IO List'!F153),"")</f>
        <v/>
      </c>
    </row>
    <row r="154" ht="14.25" customHeight="1">
      <c r="B154" s="33" t="str">
        <f>IF('IO List'!B154="GVL",CONCATENATE('IO List'!A154),"")</f>
        <v/>
      </c>
      <c r="C154" s="33" t="str">
        <f>IF('IO List'!B154="GVL",CONCATENATE("AT %",'IO List'!C154),"")</f>
        <v/>
      </c>
      <c r="D154" s="33" t="str">
        <f>IF('IO List'!B154="GVL",CONCATENATE(": ",'IO List'!D154,";"),"")</f>
        <v/>
      </c>
      <c r="E154" s="33" t="str">
        <f>IF('IO List'!B154="GVL",CONCATENATE("// ",'IO List'!F154),"")</f>
        <v/>
      </c>
    </row>
    <row r="155" ht="14.25" customHeight="1">
      <c r="B155" s="33" t="str">
        <f>IF('IO List'!B155="GVL",CONCATENATE('IO List'!A155),"")</f>
        <v>SOP720_K5</v>
      </c>
      <c r="C155" s="33" t="str">
        <f>IF('IO List'!B155="GVL",CONCATENATE("AT %",'IO List'!C155),"")</f>
        <v>AT %QX3.6</v>
      </c>
      <c r="D155" s="33" t="str">
        <f>IF('IO List'!B155="GVL",CONCATENATE(": ",'IO List'!D155,";"),"")</f>
        <v>: BOOL;</v>
      </c>
      <c r="E155" s="33" t="str">
        <f>IF('IO List'!B155="GVL",CONCATENATE("// ",'IO List'!F155),"")</f>
        <v>// Light Curtain Mute. Out</v>
      </c>
    </row>
    <row r="156" ht="14.25" customHeight="1">
      <c r="B156" s="33" t="str">
        <f>IF('IO List'!B156="GVL",CONCATENATE('IO List'!A156),"")</f>
        <v>SOP720_K6</v>
      </c>
      <c r="C156" s="33" t="str">
        <f>IF('IO List'!B156="GVL",CONCATENATE("AT %",'IO List'!C156),"")</f>
        <v>AT %QX3.7</v>
      </c>
      <c r="D156" s="33" t="str">
        <f>IF('IO List'!B156="GVL",CONCATENATE(": ",'IO List'!D156,";"),"")</f>
        <v>: BOOL;</v>
      </c>
      <c r="E156" s="33" t="str">
        <f>IF('IO List'!B156="GVL",CONCATENATE("// ",'IO List'!F156),"")</f>
        <v>// Light Curtain Mute. In</v>
      </c>
    </row>
    <row r="157" ht="14.25" customHeight="1">
      <c r="B157" s="33" t="str">
        <f>IF('IO List'!B157="GVL",CONCATENATE('IO List'!A157),"")</f>
        <v/>
      </c>
      <c r="C157" s="33" t="str">
        <f>IF('IO List'!B157="GVL",CONCATENATE("AT %",'IO List'!C157),"")</f>
        <v/>
      </c>
      <c r="D157" s="33" t="str">
        <f>IF('IO List'!B157="GVL",CONCATENATE(": ",'IO List'!D157,";"),"")</f>
        <v/>
      </c>
      <c r="E157" s="33" t="str">
        <f>IF('IO List'!B157="GVL",CONCATENATE("// ",'IO List'!F157),"")</f>
        <v/>
      </c>
    </row>
    <row r="158" ht="14.25" customHeight="1">
      <c r="B158" s="33" t="str">
        <f>IF('IO List'!B158="GVL",CONCATENATE('IO List'!A158),"")</f>
        <v/>
      </c>
      <c r="C158" s="33" t="str">
        <f>IF('IO List'!B158="GVL",CONCATENATE("AT %",'IO List'!C158),"")</f>
        <v/>
      </c>
      <c r="D158" s="33" t="str">
        <f>IF('IO List'!B158="GVL",CONCATENATE(": ",'IO List'!D158,";"),"")</f>
        <v/>
      </c>
      <c r="E158" s="33" t="str">
        <f>IF('IO List'!B158="GVL",CONCATENATE("// ",'IO List'!F158),"")</f>
        <v/>
      </c>
    </row>
    <row r="159" ht="14.25" customHeight="1">
      <c r="B159" s="33" t="str">
        <f>IF('IO List'!B159="GVL",CONCATENATE('IO List'!A159),"")</f>
        <v/>
      </c>
      <c r="C159" s="33" t="str">
        <f>IF('IO List'!B159="GVL",CONCATENATE("AT %",'IO List'!C159),"")</f>
        <v/>
      </c>
      <c r="D159" s="33" t="str">
        <f>IF('IO List'!B159="GVL",CONCATENATE(": ",'IO List'!D159,";"),"")</f>
        <v/>
      </c>
      <c r="E159" s="33" t="str">
        <f>IF('IO List'!B159="GVL",CONCATENATE("// ",'IO List'!F159),"")</f>
        <v/>
      </c>
    </row>
    <row r="160" ht="14.25" customHeight="1">
      <c r="B160" s="33" t="str">
        <f>IF('IO List'!B160="GVL",CONCATENATE('IO List'!A160),"")</f>
        <v/>
      </c>
      <c r="C160" s="33" t="str">
        <f>IF('IO List'!B160="GVL",CONCATENATE("AT %",'IO List'!C160),"")</f>
        <v/>
      </c>
      <c r="D160" s="33" t="str">
        <f>IF('IO List'!B160="GVL",CONCATENATE(": ",'IO List'!D160,";"),"")</f>
        <v/>
      </c>
      <c r="E160" s="33" t="str">
        <f>IF('IO List'!B160="GVL",CONCATENATE("// ",'IO List'!F160),"")</f>
        <v/>
      </c>
    </row>
    <row r="161" ht="14.25" customHeight="1">
      <c r="B161" s="33" t="str">
        <f>IF('IO List'!B161="GVL",CONCATENATE('IO List'!A161),"")</f>
        <v/>
      </c>
      <c r="C161" s="33" t="str">
        <f>IF('IO List'!B161="GVL",CONCATENATE("AT %",'IO List'!C161),"")</f>
        <v/>
      </c>
      <c r="D161" s="33" t="str">
        <f>IF('IO List'!B161="GVL",CONCATENATE(": ",'IO List'!D161,";"),"")</f>
        <v/>
      </c>
      <c r="E161" s="33" t="str">
        <f>IF('IO List'!B161="GVL",CONCATENATE("// ",'IO List'!F161),"")</f>
        <v/>
      </c>
    </row>
    <row r="162" ht="14.25" customHeight="1">
      <c r="B162" s="33" t="str">
        <f>IF('IO List'!B162="GVL",CONCATENATE('IO List'!A162),"")</f>
        <v/>
      </c>
      <c r="C162" s="33" t="str">
        <f>IF('IO List'!B162="GVL",CONCATENATE("AT %",'IO List'!C162),"")</f>
        <v/>
      </c>
      <c r="D162" s="33" t="str">
        <f>IF('IO List'!B162="GVL",CONCATENATE(": ",'IO List'!D162,";"),"")</f>
        <v/>
      </c>
      <c r="E162" s="33" t="str">
        <f>IF('IO List'!B162="GVL",CONCATENATE("// ",'IO List'!F162),"")</f>
        <v/>
      </c>
    </row>
    <row r="163" ht="14.25" customHeight="1">
      <c r="B163" s="33" t="str">
        <f>IF('IO List'!B163="GVL",CONCATENATE('IO List'!A163),"")</f>
        <v/>
      </c>
      <c r="C163" s="33" t="str">
        <f>IF('IO List'!B163="GVL",CONCATENATE("AT %",'IO List'!C163),"")</f>
        <v/>
      </c>
      <c r="D163" s="33" t="str">
        <f>IF('IO List'!B163="GVL",CONCATENATE(": ",'IO List'!D163,";"),"")</f>
        <v/>
      </c>
      <c r="E163" s="33" t="str">
        <f>IF('IO List'!B163="GVL",CONCATENATE("// ",'IO List'!F163),"")</f>
        <v/>
      </c>
    </row>
    <row r="164" ht="14.25" customHeight="1">
      <c r="B164" s="33" t="str">
        <f>IF('IO List'!B164="GVL",CONCATENATE('IO List'!A164),"")</f>
        <v/>
      </c>
      <c r="C164" s="33" t="str">
        <f>IF('IO List'!B164="GVL",CONCATENATE("AT %",'IO List'!C164),"")</f>
        <v/>
      </c>
      <c r="D164" s="33" t="str">
        <f>IF('IO List'!B164="GVL",CONCATENATE(": ",'IO List'!D164,";"),"")</f>
        <v/>
      </c>
      <c r="E164" s="33" t="str">
        <f>IF('IO List'!B164="GVL",CONCATENATE("// ",'IO List'!F164),"")</f>
        <v/>
      </c>
    </row>
    <row r="165" ht="14.25" customHeight="1">
      <c r="B165" s="33" t="str">
        <f>IF('IO List'!B165="GVL",CONCATENATE('IO List'!A165),"")</f>
        <v/>
      </c>
      <c r="C165" s="33" t="str">
        <f>IF('IO List'!B165="GVL",CONCATENATE("AT %",'IO List'!C165),"")</f>
        <v/>
      </c>
      <c r="D165" s="33" t="str">
        <f>IF('IO List'!B165="GVL",CONCATENATE(": ",'IO List'!D165,";"),"")</f>
        <v/>
      </c>
      <c r="E165" s="33" t="str">
        <f>IF('IO List'!B165="GVL",CONCATENATE("// ",'IO List'!F165),"")</f>
        <v/>
      </c>
    </row>
    <row r="166" ht="14.25" customHeight="1">
      <c r="B166" s="33" t="str">
        <f>IF('IO List'!B166="GVL",CONCATENATE('IO List'!A166),"")</f>
        <v/>
      </c>
      <c r="C166" s="33" t="str">
        <f>IF('IO List'!B166="GVL",CONCATENATE("AT %",'IO List'!C166),"")</f>
        <v/>
      </c>
      <c r="D166" s="33" t="str">
        <f>IF('IO List'!B166="GVL",CONCATENATE(": ",'IO List'!D166,";"),"")</f>
        <v/>
      </c>
      <c r="E166" s="33" t="str">
        <f>IF('IO List'!B166="GVL",CONCATENATE("// ",'IO List'!F166),"")</f>
        <v/>
      </c>
    </row>
    <row r="167" ht="14.25" customHeight="1">
      <c r="B167" s="33" t="str">
        <f>IF('IO List'!B167="GVL",CONCATENATE('IO List'!A167),"")</f>
        <v/>
      </c>
      <c r="C167" s="33" t="str">
        <f>IF('IO List'!B167="GVL",CONCATENATE("AT %",'IO List'!C167),"")</f>
        <v/>
      </c>
      <c r="D167" s="33" t="str">
        <f>IF('IO List'!B167="GVL",CONCATENATE(": ",'IO List'!D167,";"),"")</f>
        <v/>
      </c>
      <c r="E167" s="33" t="str">
        <f>IF('IO List'!B167="GVL",CONCATENATE("// ",'IO List'!F167),"")</f>
        <v/>
      </c>
    </row>
    <row r="168" ht="14.25" customHeight="1">
      <c r="B168" s="33" t="str">
        <f>IF('IO List'!B168="GVL",CONCATENATE('IO List'!A168),"")</f>
        <v/>
      </c>
      <c r="C168" s="33" t="str">
        <f>IF('IO List'!B168="GVL",CONCATENATE("AT %",'IO List'!C168),"")</f>
        <v/>
      </c>
      <c r="D168" s="33" t="str">
        <f>IF('IO List'!B168="GVL",CONCATENATE(": ",'IO List'!D168,";"),"")</f>
        <v/>
      </c>
      <c r="E168" s="33" t="str">
        <f>IF('IO List'!B168="GVL",CONCATENATE("// ",'IO List'!F168),"")</f>
        <v/>
      </c>
    </row>
    <row r="169" ht="14.25" customHeight="1">
      <c r="B169" s="33" t="str">
        <f>IF('IO List'!B169="GVL",CONCATENATE('IO List'!A169),"")</f>
        <v/>
      </c>
      <c r="C169" s="33" t="str">
        <f>IF('IO List'!B169="GVL",CONCATENATE("AT %",'IO List'!C169),"")</f>
        <v/>
      </c>
      <c r="D169" s="33" t="str">
        <f>IF('IO List'!B169="GVL",CONCATENATE(": ",'IO List'!D169,";"),"")</f>
        <v/>
      </c>
      <c r="E169" s="33" t="str">
        <f>IF('IO List'!B169="GVL",CONCATENATE("// ",'IO List'!F169),"")</f>
        <v/>
      </c>
    </row>
    <row r="170" ht="14.25" customHeight="1">
      <c r="B170" s="33" t="str">
        <f>IF('IO List'!B170="GVL",CONCATENATE('IO List'!A170),"")</f>
        <v/>
      </c>
      <c r="C170" s="33" t="str">
        <f>IF('IO List'!B170="GVL",CONCATENATE("AT %",'IO List'!C170),"")</f>
        <v/>
      </c>
      <c r="D170" s="33" t="str">
        <f>IF('IO List'!B170="GVL",CONCATENATE(": ",'IO List'!D170,";"),"")</f>
        <v/>
      </c>
      <c r="E170" s="33" t="str">
        <f>IF('IO List'!B170="GVL",CONCATENATE("// ",'IO List'!F170),"")</f>
        <v/>
      </c>
    </row>
    <row r="171" ht="14.25" customHeight="1">
      <c r="B171" s="33" t="str">
        <f>IF('IO List'!B171="GVL",CONCATENATE('IO List'!A171),"")</f>
        <v/>
      </c>
      <c r="C171" s="33" t="str">
        <f>IF('IO List'!B171="GVL",CONCATENATE("AT %",'IO List'!C171),"")</f>
        <v/>
      </c>
      <c r="D171" s="33" t="str">
        <f>IF('IO List'!B171="GVL",CONCATENATE(": ",'IO List'!D171,";"),"")</f>
        <v/>
      </c>
      <c r="E171" s="33" t="str">
        <f>IF('IO List'!B171="GVL",CONCATENATE("// ",'IO List'!F171),"")</f>
        <v/>
      </c>
    </row>
    <row r="172" ht="14.25" customHeight="1">
      <c r="B172" s="33" t="str">
        <f>IF('IO List'!B172="GVL",CONCATENATE('IO List'!A172),"")</f>
        <v/>
      </c>
      <c r="C172" s="33" t="str">
        <f>IF('IO List'!B172="GVL",CONCATENATE("AT %",'IO List'!C172),"")</f>
        <v/>
      </c>
      <c r="D172" s="33" t="str">
        <f>IF('IO List'!B172="GVL",CONCATENATE(": ",'IO List'!D172,";"),"")</f>
        <v/>
      </c>
      <c r="E172" s="33" t="str">
        <f>IF('IO List'!B172="GVL",CONCATENATE("// ",'IO List'!F172),"")</f>
        <v/>
      </c>
    </row>
    <row r="173" ht="14.25" customHeight="1">
      <c r="B173" s="33" t="str">
        <f>IF('IO List'!B173="GVL",CONCATENATE('IO List'!A173),"")</f>
        <v/>
      </c>
      <c r="C173" s="33" t="str">
        <f>IF('IO List'!B173="GVL",CONCATENATE("AT %",'IO List'!C173),"")</f>
        <v/>
      </c>
      <c r="D173" s="33" t="str">
        <f>IF('IO List'!B173="GVL",CONCATENATE(": ",'IO List'!D173,";"),"")</f>
        <v/>
      </c>
      <c r="E173" s="33" t="str">
        <f>IF('IO List'!B173="GVL",CONCATENATE("// ",'IO List'!F173),"")</f>
        <v/>
      </c>
    </row>
    <row r="174" ht="14.25" customHeight="1">
      <c r="B174" s="33" t="str">
        <f>IF('IO List'!B174="GVL",CONCATENATE('IO List'!A174),"")</f>
        <v/>
      </c>
      <c r="C174" s="33" t="str">
        <f>IF('IO List'!B174="GVL",CONCATENATE("AT %",'IO List'!C174),"")</f>
        <v/>
      </c>
      <c r="D174" s="33" t="str">
        <f>IF('IO List'!B174="GVL",CONCATENATE(": ",'IO List'!D174,";"),"")</f>
        <v/>
      </c>
      <c r="E174" s="33" t="str">
        <f>IF('IO List'!B174="GVL",CONCATENATE("// ",'IO List'!F174),"")</f>
        <v/>
      </c>
    </row>
    <row r="175" ht="14.25" customHeight="1">
      <c r="B175" s="33" t="str">
        <f>IF('IO List'!B175="GVL",CONCATENATE('IO List'!A175),"")</f>
        <v/>
      </c>
      <c r="C175" s="33" t="str">
        <f>IF('IO List'!B175="GVL",CONCATENATE("AT %",'IO List'!C175),"")</f>
        <v/>
      </c>
      <c r="D175" s="33" t="str">
        <f>IF('IO List'!B175="GVL",CONCATENATE(": ",'IO List'!D175,";"),"")</f>
        <v/>
      </c>
      <c r="E175" s="33" t="str">
        <f>IF('IO List'!B175="GVL",CONCATENATE("// ",'IO List'!F175),"")</f>
        <v/>
      </c>
    </row>
    <row r="176" ht="14.25" customHeight="1">
      <c r="B176" s="33" t="str">
        <f>IF('IO List'!B176="GVL",CONCATENATE('IO List'!A176),"")</f>
        <v/>
      </c>
      <c r="C176" s="33" t="str">
        <f>IF('IO List'!B176="GVL",CONCATENATE("AT %",'IO List'!C176),"")</f>
        <v/>
      </c>
      <c r="D176" s="33" t="str">
        <f>IF('IO List'!B176="GVL",CONCATENATE(": ",'IO List'!D176,";"),"")</f>
        <v/>
      </c>
      <c r="E176" s="33" t="str">
        <f>IF('IO List'!B176="GVL",CONCATENATE("// ",'IO List'!F176),"")</f>
        <v/>
      </c>
    </row>
    <row r="177" ht="14.25" customHeight="1">
      <c r="B177" s="33" t="str">
        <f>IF('IO List'!B177="GVL",CONCATENATE('IO List'!A177),"")</f>
        <v/>
      </c>
      <c r="C177" s="33" t="str">
        <f>IF('IO List'!B177="GVL",CONCATENATE("AT %",'IO List'!C177),"")</f>
        <v/>
      </c>
      <c r="D177" s="33" t="str">
        <f>IF('IO List'!B177="GVL",CONCATENATE(": ",'IO List'!D177,";"),"")</f>
        <v/>
      </c>
      <c r="E177" s="33" t="str">
        <f>IF('IO List'!B177="GVL",CONCATENATE("// ",'IO List'!F177),"")</f>
        <v/>
      </c>
    </row>
    <row r="178" ht="14.25" customHeight="1">
      <c r="B178" s="33" t="str">
        <f>IF('IO List'!B178="GVL",CONCATENATE('IO List'!A178),"")</f>
        <v/>
      </c>
      <c r="C178" s="33" t="str">
        <f>IF('IO List'!B178="GVL",CONCATENATE("AT %",'IO List'!C178),"")</f>
        <v/>
      </c>
      <c r="D178" s="33" t="str">
        <f>IF('IO List'!B178="GVL",CONCATENATE(": ",'IO List'!D178,";"),"")</f>
        <v/>
      </c>
      <c r="E178" s="33" t="str">
        <f>IF('IO List'!B178="GVL",CONCATENATE("// ",'IO List'!F178),"")</f>
        <v/>
      </c>
    </row>
    <row r="179" ht="14.25" customHeight="1">
      <c r="B179" s="33" t="str">
        <f>IF('IO List'!B179="GVL",CONCATENATE('IO List'!A179),"")</f>
        <v/>
      </c>
      <c r="C179" s="33" t="str">
        <f>IF('IO List'!B179="GVL",CONCATENATE("AT %",'IO List'!C179),"")</f>
        <v/>
      </c>
      <c r="D179" s="33" t="str">
        <f>IF('IO List'!B179="GVL",CONCATENATE(": ",'IO List'!D179,";"),"")</f>
        <v/>
      </c>
      <c r="E179" s="33" t="str">
        <f>IF('IO List'!B179="GVL",CONCATENATE("// ",'IO List'!F179),"")</f>
        <v/>
      </c>
    </row>
    <row r="180" ht="14.25" customHeight="1">
      <c r="B180" s="33" t="str">
        <f>IF('IO List'!B180="GVL",CONCATENATE('IO List'!A180),"")</f>
        <v/>
      </c>
      <c r="C180" s="33" t="str">
        <f>IF('IO List'!B180="GVL",CONCATENATE("AT %",'IO List'!C180),"")</f>
        <v/>
      </c>
      <c r="D180" s="33" t="str">
        <f>IF('IO List'!B180="GVL",CONCATENATE(": ",'IO List'!D180,";"),"")</f>
        <v/>
      </c>
      <c r="E180" s="33" t="str">
        <f>IF('IO List'!B180="GVL",CONCATENATE("// ",'IO List'!F180),"")</f>
        <v/>
      </c>
    </row>
    <row r="181" ht="14.25" customHeight="1">
      <c r="B181" s="33" t="str">
        <f>IF('IO List'!B181="GVL",CONCATENATE('IO List'!A181),"")</f>
        <v/>
      </c>
      <c r="C181" s="33" t="str">
        <f>IF('IO List'!B181="GVL",CONCATENATE("AT %",'IO List'!C181),"")</f>
        <v/>
      </c>
      <c r="D181" s="33" t="str">
        <f>IF('IO List'!B181="GVL",CONCATENATE(": ",'IO List'!D181,";"),"")</f>
        <v/>
      </c>
      <c r="E181" s="33" t="str">
        <f>IF('IO List'!B181="GVL",CONCATENATE("// ",'IO List'!F181),"")</f>
        <v/>
      </c>
    </row>
    <row r="182" ht="14.25" customHeight="1">
      <c r="B182" s="33" t="str">
        <f>IF('IO List'!B182="GVL",CONCATENATE('IO List'!A182),"")</f>
        <v/>
      </c>
      <c r="C182" s="33" t="str">
        <f>IF('IO List'!B182="GVL",CONCATENATE("AT %",'IO List'!C182),"")</f>
        <v/>
      </c>
      <c r="D182" s="33" t="str">
        <f>IF('IO List'!B182="GVL",CONCATENATE(": ",'IO List'!D182,";"),"")</f>
        <v/>
      </c>
      <c r="E182" s="33" t="str">
        <f>IF('IO List'!B182="GVL",CONCATENATE("// ",'IO List'!F182),"")</f>
        <v/>
      </c>
    </row>
    <row r="183" ht="14.25" customHeight="1">
      <c r="B183" s="33" t="str">
        <f>IF('IO List'!B183="GVL",CONCATENATE('IO List'!A183),"")</f>
        <v/>
      </c>
      <c r="C183" s="33" t="str">
        <f>IF('IO List'!B183="GVL",CONCATENATE("AT %",'IO List'!C183),"")</f>
        <v/>
      </c>
      <c r="D183" s="33" t="str">
        <f>IF('IO List'!B183="GVL",CONCATENATE(": ",'IO List'!D183,";"),"")</f>
        <v/>
      </c>
      <c r="E183" s="33" t="str">
        <f>IF('IO List'!B183="GVL",CONCATENATE("// ",'IO List'!F183),"")</f>
        <v/>
      </c>
    </row>
    <row r="184" ht="14.25" customHeight="1">
      <c r="B184" s="33" t="str">
        <f>IF('IO List'!B184="GVL",CONCATENATE('IO List'!A184),"")</f>
        <v/>
      </c>
      <c r="C184" s="33" t="str">
        <f>IF('IO List'!B184="GVL",CONCATENATE("AT %",'IO List'!C184),"")</f>
        <v/>
      </c>
      <c r="D184" s="33" t="str">
        <f>IF('IO List'!B184="GVL",CONCATENATE(": ",'IO List'!D184,";"),"")</f>
        <v/>
      </c>
      <c r="E184" s="33" t="str">
        <f>IF('IO List'!B184="GVL",CONCATENATE("// ",'IO List'!F184),"")</f>
        <v/>
      </c>
    </row>
    <row r="185" ht="14.25" customHeight="1">
      <c r="B185" s="33" t="str">
        <f>IF('IO List'!B185="GVL",CONCATENATE('IO List'!A185),"")</f>
        <v/>
      </c>
      <c r="C185" s="33" t="str">
        <f>IF('IO List'!B185="GVL",CONCATENATE("AT %",'IO List'!C185),"")</f>
        <v/>
      </c>
      <c r="D185" s="33" t="str">
        <f>IF('IO List'!B185="GVL",CONCATENATE(": ",'IO List'!D185,";"),"")</f>
        <v/>
      </c>
      <c r="E185" s="33" t="str">
        <f>IF('IO List'!B185="GVL",CONCATENATE("// ",'IO List'!F185),"")</f>
        <v/>
      </c>
    </row>
    <row r="186" ht="14.25" customHeight="1">
      <c r="B186" s="33" t="str">
        <f>IF('IO List'!B186="GVL",CONCATENATE('IO List'!A186),"")</f>
        <v/>
      </c>
      <c r="C186" s="33" t="str">
        <f>IF('IO List'!B186="GVL",CONCATENATE("AT %",'IO List'!C186),"")</f>
        <v/>
      </c>
      <c r="D186" s="33" t="str">
        <f>IF('IO List'!B186="GVL",CONCATENATE(": ",'IO List'!D186,";"),"")</f>
        <v/>
      </c>
      <c r="E186" s="33" t="str">
        <f>IF('IO List'!B186="GVL",CONCATENATE("// ",'IO List'!F186),"")</f>
        <v/>
      </c>
    </row>
    <row r="187" ht="14.25" customHeight="1">
      <c r="B187" s="33" t="str">
        <f>IF('IO List'!B187="GVL",CONCATENATE('IO List'!A187),"")</f>
        <v/>
      </c>
      <c r="C187" s="33" t="str">
        <f>IF('IO List'!B187="GVL",CONCATENATE("AT %",'IO List'!C187),"")</f>
        <v/>
      </c>
      <c r="D187" s="33" t="str">
        <f>IF('IO List'!B187="GVL",CONCATENATE(": ",'IO List'!D187,";"),"")</f>
        <v/>
      </c>
      <c r="E187" s="33" t="str">
        <f>IF('IO List'!B187="GVL",CONCATENATE("// ",'IO List'!F187),"")</f>
        <v/>
      </c>
    </row>
    <row r="188" ht="14.25" customHeight="1">
      <c r="B188" s="33" t="str">
        <f>IF('IO List'!B188="GVL",CONCATENATE('IO List'!A188),"")</f>
        <v/>
      </c>
      <c r="C188" s="33" t="str">
        <f>IF('IO List'!B188="GVL",CONCATENATE("AT %",'IO List'!C188),"")</f>
        <v/>
      </c>
      <c r="D188" s="33" t="str">
        <f>IF('IO List'!B188="GVL",CONCATENATE(": ",'IO List'!D188,";"),"")</f>
        <v/>
      </c>
      <c r="E188" s="33" t="str">
        <f>IF('IO List'!B188="GVL",CONCATENATE("// ",'IO List'!F188),"")</f>
        <v/>
      </c>
    </row>
    <row r="189" ht="14.25" customHeight="1">
      <c r="B189" s="33" t="str">
        <f>IF('IO List'!B189="GVL",CONCATENATE('IO List'!A189),"")</f>
        <v/>
      </c>
      <c r="C189" s="33" t="str">
        <f>IF('IO List'!B189="GVL",CONCATENATE("AT %",'IO List'!C189),"")</f>
        <v/>
      </c>
      <c r="D189" s="33" t="str">
        <f>IF('IO List'!B189="GVL",CONCATENATE(": ",'IO List'!D189,";"),"")</f>
        <v/>
      </c>
      <c r="E189" s="33" t="str">
        <f>IF('IO List'!B189="GVL",CONCATENATE("// ",'IO List'!F189),"")</f>
        <v/>
      </c>
    </row>
    <row r="190" ht="14.25" customHeight="1">
      <c r="B190" s="33" t="str">
        <f>IF('IO List'!B190="GVL",CONCATENATE('IO List'!A190),"")</f>
        <v/>
      </c>
      <c r="C190" s="33" t="str">
        <f>IF('IO List'!B190="GVL",CONCATENATE("AT %",'IO List'!C190),"")</f>
        <v/>
      </c>
      <c r="D190" s="33" t="str">
        <f>IF('IO List'!B190="GVL",CONCATENATE(": ",'IO List'!D190,";"),"")</f>
        <v/>
      </c>
      <c r="E190" s="33" t="str">
        <f>IF('IO List'!B190="GVL",CONCATENATE("// ",'IO List'!F190),"")</f>
        <v/>
      </c>
    </row>
    <row r="191" ht="14.25" customHeight="1">
      <c r="B191" s="33" t="str">
        <f>IF('IO List'!B191="GVL",CONCATENATE('IO List'!A191),"")</f>
        <v/>
      </c>
      <c r="C191" s="33" t="str">
        <f>IF('IO List'!B191="GVL",CONCATENATE("AT %",'IO List'!C191),"")</f>
        <v/>
      </c>
      <c r="D191" s="33" t="str">
        <f>IF('IO List'!B191="GVL",CONCATENATE(": ",'IO List'!D191,";"),"")</f>
        <v/>
      </c>
      <c r="E191" s="33" t="str">
        <f>IF('IO List'!B191="GVL",CONCATENATE("// ",'IO List'!F191),"")</f>
        <v/>
      </c>
    </row>
    <row r="192" ht="14.25" customHeight="1">
      <c r="B192" s="33" t="str">
        <f>IF('IO List'!B192="GVL",CONCATENATE('IO List'!A192),"")</f>
        <v/>
      </c>
      <c r="C192" s="33" t="str">
        <f>IF('IO List'!B192="GVL",CONCATENATE("AT %",'IO List'!C192),"")</f>
        <v/>
      </c>
      <c r="D192" s="33" t="str">
        <f>IF('IO List'!B192="GVL",CONCATENATE(": ",'IO List'!D192,";"),"")</f>
        <v/>
      </c>
      <c r="E192" s="33" t="str">
        <f>IF('IO List'!B192="GVL",CONCATENATE("// ",'IO List'!F192),"")</f>
        <v/>
      </c>
    </row>
    <row r="193" ht="14.25" customHeight="1">
      <c r="B193" s="33" t="str">
        <f>IF('IO List'!B193="GVL",CONCATENATE('IO List'!A193),"")</f>
        <v>SOP700_H2</v>
      </c>
      <c r="C193" s="33" t="str">
        <f>IF('IO List'!B193="GVL",CONCATENATE("AT %",'IO List'!C193),"")</f>
        <v>AT %QX8.1</v>
      </c>
      <c r="D193" s="33" t="str">
        <f>IF('IO List'!B193="GVL",CONCATENATE(": ",'IO List'!D193,";"),"")</f>
        <v>: BOOL;</v>
      </c>
      <c r="E193" s="33" t="str">
        <f>IF('IO List'!B193="GVL",CONCATENATE("// ",'IO List'!F193),"")</f>
        <v>// Safety Circuit OK. Green</v>
      </c>
    </row>
    <row r="194" ht="14.25" customHeight="1">
      <c r="B194" s="33" t="str">
        <f>IF('IO List'!B194="GVL",CONCATENATE('IO List'!A194),"")</f>
        <v>SOP700_H3</v>
      </c>
      <c r="C194" s="33" t="str">
        <f>IF('IO List'!B194="GVL",CONCATENATE("AT %",'IO List'!C194),"")</f>
        <v>AT %QX8.2</v>
      </c>
      <c r="D194" s="33" t="str">
        <f>IF('IO List'!B194="GVL",CONCATENATE(": ",'IO List'!D194,";"),"")</f>
        <v>: BOOL;</v>
      </c>
      <c r="E194" s="33" t="str">
        <f>IF('IO List'!B194="GVL",CONCATENATE("// ",'IO List'!F194),"")</f>
        <v>// Safety Circuit reset. Green</v>
      </c>
    </row>
    <row r="195" ht="14.25" customHeight="1">
      <c r="B195" s="33" t="str">
        <f>IF('IO List'!B195="GVL",CONCATENATE('IO List'!A195),"")</f>
        <v/>
      </c>
      <c r="C195" s="33" t="str">
        <f>IF('IO List'!B195="GVL",CONCATENATE("AT %",'IO List'!C195),"")</f>
        <v/>
      </c>
      <c r="D195" s="33" t="str">
        <f>IF('IO List'!B195="GVL",CONCATENATE(": ",'IO List'!D195,";"),"")</f>
        <v/>
      </c>
      <c r="E195" s="33" t="str">
        <f>IF('IO List'!B195="GVL",CONCATENATE("// ",'IO List'!F195),"")</f>
        <v/>
      </c>
    </row>
    <row r="196" ht="14.25" customHeight="1">
      <c r="B196" s="33" t="str">
        <f>IF('IO List'!B196="GVL",CONCATENATE('IO List'!A196),"")</f>
        <v>SOP700_H5</v>
      </c>
      <c r="C196" s="33" t="str">
        <f>IF('IO List'!B196="GVL",CONCATENATE("AT %",'IO List'!C196),"")</f>
        <v>AT %QX8.4</v>
      </c>
      <c r="D196" s="33" t="str">
        <f>IF('IO List'!B196="GVL",CONCATENATE(": ",'IO List'!D196,";"),"")</f>
        <v>: BOOL;</v>
      </c>
      <c r="E196" s="33" t="str">
        <f>IF('IO List'!B196="GVL",CONCATENATE("// ",'IO List'!F196),"")</f>
        <v>// Reset Alarm Light.</v>
      </c>
    </row>
    <row r="197" ht="14.25" customHeight="1">
      <c r="B197" s="33" t="str">
        <f>IF('IO List'!B197="GVL",CONCATENATE('IO List'!A197),"")</f>
        <v>SOP700_H6</v>
      </c>
      <c r="C197" s="33" t="str">
        <f>IF('IO List'!B197="GVL",CONCATENATE("AT %",'IO List'!C197),"")</f>
        <v>AT %QX8.5</v>
      </c>
      <c r="D197" s="33" t="str">
        <f>IF('IO List'!B197="GVL",CONCATENATE(": ",'IO List'!D197,";"),"")</f>
        <v>: BOOL;</v>
      </c>
      <c r="E197" s="33" t="str">
        <f>IF('IO List'!B197="GVL",CONCATENATE("// ",'IO List'!F197),"")</f>
        <v>// Warning. Orange HMI</v>
      </c>
    </row>
    <row r="198" ht="14.25" customHeight="1">
      <c r="B198" s="33" t="str">
        <f>IF('IO List'!B198="GVL",CONCATENATE('IO List'!A198),"")</f>
        <v/>
      </c>
      <c r="C198" s="33" t="str">
        <f>IF('IO List'!B198="GVL",CONCATENATE("AT %",'IO List'!C198),"")</f>
        <v/>
      </c>
      <c r="D198" s="33" t="str">
        <f>IF('IO List'!B198="GVL",CONCATENATE(": ",'IO List'!D198,";"),"")</f>
        <v/>
      </c>
      <c r="E198" s="33" t="str">
        <f>IF('IO List'!B198="GVL",CONCATENATE("// ",'IO List'!F198),"")</f>
        <v/>
      </c>
    </row>
    <row r="199" ht="14.25" customHeight="1">
      <c r="B199" s="33" t="str">
        <f>IF('IO List'!B199="GVL",CONCATENATE('IO List'!A199),"")</f>
        <v>SOP700_H8</v>
      </c>
      <c r="C199" s="33" t="str">
        <f>IF('IO List'!B199="GVL",CONCATENATE("AT %",'IO List'!C199),"")</f>
        <v>AT %QX8.7</v>
      </c>
      <c r="D199" s="33" t="str">
        <f>IF('IO List'!B199="GVL",CONCATENATE(": ",'IO List'!D199,";"),"")</f>
        <v>: BOOL;</v>
      </c>
      <c r="E199" s="33" t="str">
        <f>IF('IO List'!B199="GVL",CONCATENATE("// ",'IO List'!F199),"")</f>
        <v>// Cycle End. Blue</v>
      </c>
    </row>
    <row r="200" ht="14.25" customHeight="1">
      <c r="B200" s="33" t="str">
        <f>IF('IO List'!B200="GVL",CONCATENATE('IO List'!A200),"")</f>
        <v>SOP700_H9</v>
      </c>
      <c r="C200" s="33" t="str">
        <f>IF('IO List'!B200="GVL",CONCATENATE("AT %",'IO List'!C200),"")</f>
        <v>AT %QX9.0</v>
      </c>
      <c r="D200" s="33" t="str">
        <f>IF('IO List'!B200="GVL",CONCATENATE(": ",'IO List'!D200,";"),"")</f>
        <v>: BOOL;</v>
      </c>
      <c r="E200" s="33" t="str">
        <f>IF('IO List'!B200="GVL",CONCATENATE("// ",'IO List'!F200),"")</f>
        <v>// Robot Home Position Light</v>
      </c>
    </row>
    <row r="201" ht="14.25" customHeight="1">
      <c r="B201" s="33" t="str">
        <f>IF('IO List'!B201="GVL",CONCATENATE('IO List'!A201),"")</f>
        <v/>
      </c>
      <c r="C201" s="33" t="str">
        <f>IF('IO List'!B201="GVL",CONCATENATE("AT %",'IO List'!C201),"")</f>
        <v/>
      </c>
      <c r="D201" s="33" t="str">
        <f>IF('IO List'!B201="GVL",CONCATENATE(": ",'IO List'!D201,";"),"")</f>
        <v/>
      </c>
      <c r="E201" s="33" t="str">
        <f>IF('IO List'!B201="GVL",CONCATENATE("// ",'IO List'!F201),"")</f>
        <v/>
      </c>
    </row>
    <row r="202" ht="14.25" customHeight="1">
      <c r="B202" s="33" t="str">
        <f>IF('IO List'!B202="GVL",CONCATENATE('IO List'!A202),"")</f>
        <v/>
      </c>
      <c r="C202" s="33" t="str">
        <f>IF('IO List'!B202="GVL",CONCATENATE("AT %",'IO List'!C202),"")</f>
        <v/>
      </c>
      <c r="D202" s="33" t="str">
        <f>IF('IO List'!B202="GVL",CONCATENATE(": ",'IO List'!D202,";"),"")</f>
        <v/>
      </c>
      <c r="E202" s="33" t="str">
        <f>IF('IO List'!B202="GVL",CONCATENATE("// ",'IO List'!F202),"")</f>
        <v/>
      </c>
    </row>
    <row r="203" ht="14.25" customHeight="1">
      <c r="B203" s="33" t="str">
        <f>IF('IO List'!B203="GVL",CONCATENATE('IO List'!A203),"")</f>
        <v/>
      </c>
      <c r="C203" s="33" t="str">
        <f>IF('IO List'!B203="GVL",CONCATENATE("AT %",'IO List'!C203),"")</f>
        <v/>
      </c>
      <c r="D203" s="33" t="str">
        <f>IF('IO List'!B203="GVL",CONCATENATE(": ",'IO List'!D203,";"),"")</f>
        <v/>
      </c>
      <c r="E203" s="33" t="str">
        <f>IF('IO List'!B203="GVL",CONCATENATE("// ",'IO List'!F203),"")</f>
        <v/>
      </c>
    </row>
    <row r="204" ht="14.25" customHeight="1">
      <c r="B204" s="33" t="str">
        <f>IF('IO List'!B204="GVL",CONCATENATE('IO List'!A204),"")</f>
        <v/>
      </c>
      <c r="C204" s="33" t="str">
        <f>IF('IO List'!B204="GVL",CONCATENATE("AT %",'IO List'!C204),"")</f>
        <v/>
      </c>
      <c r="D204" s="33" t="str">
        <f>IF('IO List'!B204="GVL",CONCATENATE(": ",'IO List'!D204,";"),"")</f>
        <v/>
      </c>
      <c r="E204" s="33" t="str">
        <f>IF('IO List'!B204="GVL",CONCATENATE("// ",'IO List'!F204),"")</f>
        <v/>
      </c>
    </row>
    <row r="205" ht="14.25" customHeight="1">
      <c r="B205" s="33" t="str">
        <f>IF('IO List'!B205="GVL",CONCATENATE('IO List'!A205),"")</f>
        <v/>
      </c>
      <c r="C205" s="33" t="str">
        <f>IF('IO List'!B205="GVL",CONCATENATE("AT %",'IO List'!C205),"")</f>
        <v/>
      </c>
      <c r="D205" s="33" t="str">
        <f>IF('IO List'!B205="GVL",CONCATENATE(": ",'IO List'!D205,";"),"")</f>
        <v/>
      </c>
      <c r="E205" s="33" t="str">
        <f>IF('IO List'!B205="GVL",CONCATENATE("// ",'IO List'!F205),"")</f>
        <v/>
      </c>
    </row>
    <row r="206" ht="14.25" customHeight="1">
      <c r="B206" s="33" t="str">
        <f>IF('IO List'!B206="GVL",CONCATENATE('IO List'!A206),"")</f>
        <v/>
      </c>
      <c r="C206" s="33" t="str">
        <f>IF('IO List'!B206="GVL",CONCATENATE("AT %",'IO List'!C206),"")</f>
        <v/>
      </c>
      <c r="D206" s="33" t="str">
        <f>IF('IO List'!B206="GVL",CONCATENATE(": ",'IO List'!D206,";"),"")</f>
        <v/>
      </c>
      <c r="E206" s="33" t="str">
        <f>IF('IO List'!B206="GVL",CONCATENATE("// ",'IO List'!F206),"")</f>
        <v/>
      </c>
    </row>
    <row r="207" ht="14.25" customHeight="1">
      <c r="B207" s="33" t="str">
        <f>IF('IO List'!B207="GVL",CONCATENATE('IO List'!A207),"")</f>
        <v/>
      </c>
      <c r="C207" s="33" t="str">
        <f>IF('IO List'!B207="GVL",CONCATENATE("AT %",'IO List'!C207),"")</f>
        <v/>
      </c>
      <c r="D207" s="33" t="str">
        <f>IF('IO List'!B207="GVL",CONCATENATE(": ",'IO List'!D207,";"),"")</f>
        <v/>
      </c>
      <c r="E207" s="33" t="str">
        <f>IF('IO List'!B207="GVL",CONCATENATE("// ",'IO List'!F207),"")</f>
        <v/>
      </c>
    </row>
    <row r="208" ht="14.25" customHeight="1">
      <c r="B208" s="33" t="str">
        <f>IF('IO List'!B208="GVL",CONCATENATE('IO List'!A208),"")</f>
        <v/>
      </c>
      <c r="C208" s="33" t="str">
        <f>IF('IO List'!B208="GVL",CONCATENATE("AT %",'IO List'!C208),"")</f>
        <v/>
      </c>
      <c r="D208" s="33" t="str">
        <f>IF('IO List'!B208="GVL",CONCATENATE(": ",'IO List'!D208,";"),"")</f>
        <v/>
      </c>
      <c r="E208" s="33" t="str">
        <f>IF('IO List'!B208="GVL",CONCATENATE("// ",'IO List'!F208),"")</f>
        <v/>
      </c>
    </row>
    <row r="209" ht="14.25" customHeight="1">
      <c r="B209" s="33" t="str">
        <f>IF('IO List'!B209="GVL",CONCATENATE('IO List'!A209),"")</f>
        <v/>
      </c>
      <c r="C209" s="33" t="str">
        <f>IF('IO List'!B209="GVL",CONCATENATE("AT %",'IO List'!C209),"")</f>
        <v/>
      </c>
      <c r="D209" s="33" t="str">
        <f>IF('IO List'!B209="GVL",CONCATENATE(": ",'IO List'!D209,";"),"")</f>
        <v/>
      </c>
      <c r="E209" s="33" t="str">
        <f>IF('IO List'!B209="GVL",CONCATENATE("// ",'IO List'!F209),"")</f>
        <v/>
      </c>
    </row>
    <row r="210" ht="14.25" customHeight="1">
      <c r="B210" s="33" t="str">
        <f>IF('IO List'!B210="GVL",CONCATENATE('IO List'!A210),"")</f>
        <v/>
      </c>
      <c r="C210" s="33" t="str">
        <f>IF('IO List'!B210="GVL",CONCATENATE("AT %",'IO List'!C210),"")</f>
        <v/>
      </c>
      <c r="D210" s="33" t="str">
        <f>IF('IO List'!B210="GVL",CONCATENATE(": ",'IO List'!D210,";"),"")</f>
        <v/>
      </c>
      <c r="E210" s="33" t="str">
        <f>IF('IO List'!B210="GVL",CONCATENATE("// ",'IO List'!F210),"")</f>
        <v/>
      </c>
    </row>
    <row r="211" ht="14.25" customHeight="1">
      <c r="B211" s="33" t="str">
        <f>IF('IO List'!B211="GVL",CONCATENATE('IO List'!A211),"")</f>
        <v/>
      </c>
      <c r="C211" s="33" t="str">
        <f>IF('IO List'!B211="GVL",CONCATENATE("AT %",'IO List'!C211),"")</f>
        <v/>
      </c>
      <c r="D211" s="33" t="str">
        <f>IF('IO List'!B211="GVL",CONCATENATE(": ",'IO List'!D211,";"),"")</f>
        <v/>
      </c>
      <c r="E211" s="33" t="str">
        <f>IF('IO List'!B211="GVL",CONCATENATE("// ",'IO List'!F211),"")</f>
        <v/>
      </c>
    </row>
    <row r="212" ht="14.25" customHeight="1">
      <c r="B212" s="33" t="str">
        <f>IF('IO List'!B212="GVL",CONCATENATE('IO List'!A212),"")</f>
        <v/>
      </c>
      <c r="C212" s="33" t="str">
        <f>IF('IO List'!B212="GVL",CONCATENATE("AT %",'IO List'!C212),"")</f>
        <v/>
      </c>
      <c r="D212" s="33" t="str">
        <f>IF('IO List'!B212="GVL",CONCATENATE(": ",'IO List'!D212,";"),"")</f>
        <v/>
      </c>
      <c r="E212" s="33" t="str">
        <f>IF('IO List'!B212="GVL",CONCATENATE("// ",'IO List'!F212),"")</f>
        <v/>
      </c>
    </row>
    <row r="213" ht="14.25" customHeight="1">
      <c r="B213" s="33" t="str">
        <f>IF('IO List'!B213="GVL",CONCATENATE('IO List'!A213),"")</f>
        <v/>
      </c>
      <c r="C213" s="33" t="str">
        <f>IF('IO List'!B213="GVL",CONCATENATE("AT %",'IO List'!C213),"")</f>
        <v/>
      </c>
      <c r="D213" s="33" t="str">
        <f>IF('IO List'!B213="GVL",CONCATENATE(": ",'IO List'!D213,";"),"")</f>
        <v/>
      </c>
      <c r="E213" s="33" t="str">
        <f>IF('IO List'!B213="GVL",CONCATENATE("// ",'IO List'!F213),"")</f>
        <v/>
      </c>
    </row>
    <row r="214" ht="14.25" customHeight="1">
      <c r="B214" s="33" t="str">
        <f>IF('IO List'!B214="GVL",CONCATENATE('IO List'!A214),"")</f>
        <v/>
      </c>
      <c r="C214" s="33" t="str">
        <f>IF('IO List'!B214="GVL",CONCATENATE("AT %",'IO List'!C214),"")</f>
        <v/>
      </c>
      <c r="D214" s="33" t="str">
        <f>IF('IO List'!B214="GVL",CONCATENATE(": ",'IO List'!D214,";"),"")</f>
        <v/>
      </c>
      <c r="E214" s="33" t="str">
        <f>IF('IO List'!B214="GVL",CONCATENATE("// ",'IO List'!F214),"")</f>
        <v/>
      </c>
    </row>
    <row r="215" ht="14.25" customHeight="1">
      <c r="B215" s="33" t="str">
        <f>IF('IO List'!B215="GVL",CONCATENATE('IO List'!A215),"")</f>
        <v/>
      </c>
      <c r="C215" s="33" t="str">
        <f>IF('IO List'!B215="GVL",CONCATENATE("AT %",'IO List'!C215),"")</f>
        <v/>
      </c>
      <c r="D215" s="33" t="str">
        <f>IF('IO List'!B215="GVL",CONCATENATE(": ",'IO List'!D215,";"),"")</f>
        <v/>
      </c>
      <c r="E215" s="33" t="str">
        <f>IF('IO List'!B215="GVL",CONCATENATE("// ",'IO List'!F215),"")</f>
        <v/>
      </c>
    </row>
    <row r="216" ht="14.25" customHeight="1">
      <c r="B216" s="33" t="str">
        <f>IF('IO List'!B216="GVL",CONCATENATE('IO List'!A216),"")</f>
        <v/>
      </c>
      <c r="C216" s="33" t="str">
        <f>IF('IO List'!B216="GVL",CONCATENATE("AT %",'IO List'!C216),"")</f>
        <v/>
      </c>
      <c r="D216" s="33" t="str">
        <f>IF('IO List'!B216="GVL",CONCATENATE(": ",'IO List'!D216,";"),"")</f>
        <v/>
      </c>
      <c r="E216" s="33" t="str">
        <f>IF('IO List'!B216="GVL",CONCATENATE("// ",'IO List'!F216),"")</f>
        <v/>
      </c>
    </row>
    <row r="217" ht="14.25" customHeight="1">
      <c r="B217" s="33" t="str">
        <f>IF('IO List'!B217="GVL",CONCATENATE('IO List'!A217),"")</f>
        <v/>
      </c>
      <c r="C217" s="33" t="str">
        <f>IF('IO List'!B217="GVL",CONCATENATE("AT %",'IO List'!C217),"")</f>
        <v/>
      </c>
      <c r="D217" s="33" t="str">
        <f>IF('IO List'!B217="GVL",CONCATENATE(": ",'IO List'!D217,";"),"")</f>
        <v/>
      </c>
      <c r="E217" s="33" t="str">
        <f>IF('IO List'!B217="GVL",CONCATENATE("// ",'IO List'!F217),"")</f>
        <v/>
      </c>
    </row>
    <row r="218" ht="14.25" customHeight="1">
      <c r="B218" s="33" t="str">
        <f>IF('IO List'!B218="GVL",CONCATENATE('IO List'!A218),"")</f>
        <v/>
      </c>
      <c r="C218" s="33" t="str">
        <f>IF('IO List'!B218="GVL",CONCATENATE("AT %",'IO List'!C218),"")</f>
        <v/>
      </c>
      <c r="D218" s="33" t="str">
        <f>IF('IO List'!B218="GVL",CONCATENATE(": ",'IO List'!D218,";"),"")</f>
        <v/>
      </c>
      <c r="E218" s="33" t="str">
        <f>IF('IO List'!B218="GVL",CONCATENATE("// ",'IO List'!F218),"")</f>
        <v/>
      </c>
    </row>
    <row r="219" ht="14.25" customHeight="1">
      <c r="B219" s="33" t="str">
        <f>IF('IO List'!B219="GVL",CONCATENATE('IO List'!A219),"")</f>
        <v/>
      </c>
      <c r="C219" s="33" t="str">
        <f>IF('IO List'!B219="GVL",CONCATENATE("AT %",'IO List'!C219),"")</f>
        <v/>
      </c>
      <c r="D219" s="33" t="str">
        <f>IF('IO List'!B219="GVL",CONCATENATE(": ",'IO List'!D219,";"),"")</f>
        <v/>
      </c>
      <c r="E219" s="33" t="str">
        <f>IF('IO List'!B219="GVL",CONCATENATE("// ",'IO List'!F219),"")</f>
        <v/>
      </c>
    </row>
    <row r="220" ht="14.25" customHeight="1">
      <c r="B220" s="33" t="str">
        <f>IF('IO List'!B220="GVL",CONCATENATE('IO List'!A220),"")</f>
        <v/>
      </c>
      <c r="C220" s="33" t="str">
        <f>IF('IO List'!B220="GVL",CONCATENATE("AT %",'IO List'!C220),"")</f>
        <v/>
      </c>
      <c r="D220" s="33" t="str">
        <f>IF('IO List'!B220="GVL",CONCATENATE(": ",'IO List'!D220,";"),"")</f>
        <v/>
      </c>
      <c r="E220" s="33" t="str">
        <f>IF('IO List'!B220="GVL",CONCATENATE("// ",'IO List'!F220),"")</f>
        <v/>
      </c>
    </row>
    <row r="221" ht="14.25" customHeight="1">
      <c r="B221" s="33" t="str">
        <f>IF('IO List'!B221="GVL",CONCATENATE('IO List'!A221),"")</f>
        <v/>
      </c>
      <c r="C221" s="33" t="str">
        <f>IF('IO List'!B221="GVL",CONCATENATE("AT %",'IO List'!C221),"")</f>
        <v/>
      </c>
      <c r="D221" s="33" t="str">
        <f>IF('IO List'!B221="GVL",CONCATENATE(": ",'IO List'!D221,";"),"")</f>
        <v/>
      </c>
      <c r="E221" s="33" t="str">
        <f>IF('IO List'!B221="GVL",CONCATENATE("// ",'IO List'!F221),"")</f>
        <v/>
      </c>
    </row>
    <row r="222" ht="14.25" customHeight="1">
      <c r="B222" s="33" t="str">
        <f>IF('IO List'!B222="GVL",CONCATENATE('IO List'!A222),"")</f>
        <v/>
      </c>
      <c r="C222" s="33" t="str">
        <f>IF('IO List'!B222="GVL",CONCATENATE("AT %",'IO List'!C222),"")</f>
        <v/>
      </c>
      <c r="D222" s="33" t="str">
        <f>IF('IO List'!B222="GVL",CONCATENATE(": ",'IO List'!D222,";"),"")</f>
        <v/>
      </c>
      <c r="E222" s="33" t="str">
        <f>IF('IO List'!B222="GVL",CONCATENATE("// ",'IO List'!F222),"")</f>
        <v/>
      </c>
    </row>
    <row r="223" ht="14.25" customHeight="1">
      <c r="B223" s="33" t="str">
        <f>IF('IO List'!B223="GVL",CONCATENATE('IO List'!A223),"")</f>
        <v/>
      </c>
      <c r="C223" s="33" t="str">
        <f>IF('IO List'!B223="GVL",CONCATENATE("AT %",'IO List'!C223),"")</f>
        <v/>
      </c>
      <c r="D223" s="33" t="str">
        <f>IF('IO List'!B223="GVL",CONCATENATE(": ",'IO List'!D223,";"),"")</f>
        <v/>
      </c>
      <c r="E223" s="33" t="str">
        <f>IF('IO List'!B223="GVL",CONCATENATE("// ",'IO List'!F223),"")</f>
        <v/>
      </c>
    </row>
    <row r="224" ht="14.25" customHeight="1">
      <c r="B224" s="33" t="str">
        <f>IF('IO List'!B224="GVL",CONCATENATE('IO List'!A224),"")</f>
        <v/>
      </c>
      <c r="C224" s="33" t="str">
        <f>IF('IO List'!B224="GVL",CONCATENATE("AT %",'IO List'!C224),"")</f>
        <v/>
      </c>
      <c r="D224" s="33" t="str">
        <f>IF('IO List'!B224="GVL",CONCATENATE(": ",'IO List'!D224,";"),"")</f>
        <v/>
      </c>
      <c r="E224" s="33" t="str">
        <f>IF('IO List'!B224="GVL",CONCATENATE("// ",'IO List'!F224),"")</f>
        <v/>
      </c>
    </row>
    <row r="225" ht="14.25" customHeight="1">
      <c r="B225" s="33" t="str">
        <f>IF('IO List'!B225="GVL",CONCATENATE('IO List'!A225),"")</f>
        <v/>
      </c>
      <c r="C225" s="33" t="str">
        <f>IF('IO List'!B225="GVL",CONCATENATE("AT %",'IO List'!C225),"")</f>
        <v/>
      </c>
      <c r="D225" s="33" t="str">
        <f>IF('IO List'!B225="GVL",CONCATENATE(": ",'IO List'!D225,";"),"")</f>
        <v/>
      </c>
      <c r="E225" s="33" t="str">
        <f>IF('IO List'!B225="GVL",CONCATENATE("// ",'IO List'!F225),"")</f>
        <v/>
      </c>
    </row>
    <row r="226" ht="14.25" customHeight="1">
      <c r="B226" s="33" t="str">
        <f>IF('IO List'!B226="GVL",CONCATENATE('IO List'!A226),"")</f>
        <v/>
      </c>
      <c r="C226" s="33" t="str">
        <f>IF('IO List'!B226="GVL",CONCATENATE("AT %",'IO List'!C226),"")</f>
        <v/>
      </c>
      <c r="D226" s="33" t="str">
        <f>IF('IO List'!B226="GVL",CONCATENATE(": ",'IO List'!D226,";"),"")</f>
        <v/>
      </c>
      <c r="E226" s="33" t="str">
        <f>IF('IO List'!B226="GVL",CONCATENATE("// ",'IO List'!F226),"")</f>
        <v/>
      </c>
    </row>
    <row r="227" ht="14.25" customHeight="1">
      <c r="B227" s="33" t="str">
        <f>IF('IO List'!B227="GVL",CONCATENATE('IO List'!A227),"")</f>
        <v/>
      </c>
      <c r="C227" s="33" t="str">
        <f>IF('IO List'!B227="GVL",CONCATENATE("AT %",'IO List'!C227),"")</f>
        <v/>
      </c>
      <c r="D227" s="33" t="str">
        <f>IF('IO List'!B227="GVL",CONCATENATE(": ",'IO List'!D227,";"),"")</f>
        <v/>
      </c>
      <c r="E227" s="33" t="str">
        <f>IF('IO List'!B227="GVL",CONCATENATE("// ",'IO List'!F227),"")</f>
        <v/>
      </c>
    </row>
    <row r="228" ht="14.25" customHeight="1">
      <c r="B228" s="33" t="str">
        <f>IF('IO List'!B228="GVL",CONCATENATE('IO List'!A228),"")</f>
        <v/>
      </c>
      <c r="C228" s="33" t="str">
        <f>IF('IO List'!B228="GVL",CONCATENATE("AT %",'IO List'!C228),"")</f>
        <v/>
      </c>
      <c r="D228" s="33" t="str">
        <f>IF('IO List'!B228="GVL",CONCATENATE(": ",'IO List'!D228,";"),"")</f>
        <v/>
      </c>
      <c r="E228" s="33" t="str">
        <f>IF('IO List'!B228="GVL",CONCATENATE("// ",'IO List'!F228),"")</f>
        <v/>
      </c>
    </row>
    <row r="229" ht="14.25" customHeight="1">
      <c r="B229" s="33" t="str">
        <f>IF('IO List'!B229="GVL",CONCATENATE('IO List'!A229),"")</f>
        <v/>
      </c>
      <c r="C229" s="33" t="str">
        <f>IF('IO List'!B229="GVL",CONCATENATE("AT %",'IO List'!C229),"")</f>
        <v/>
      </c>
      <c r="D229" s="33" t="str">
        <f>IF('IO List'!B229="GVL",CONCATENATE(": ",'IO List'!D229,";"),"")</f>
        <v/>
      </c>
      <c r="E229" s="33" t="str">
        <f>IF('IO List'!B229="GVL",CONCATENATE("// ",'IO List'!F229),"")</f>
        <v/>
      </c>
    </row>
    <row r="230" ht="14.25" customHeight="1">
      <c r="B230" s="33" t="str">
        <f>IF('IO List'!B230="GVL",CONCATENATE('IO List'!A230),"")</f>
        <v/>
      </c>
      <c r="C230" s="33" t="str">
        <f>IF('IO List'!B230="GVL",CONCATENATE("AT %",'IO List'!C230),"")</f>
        <v/>
      </c>
      <c r="D230" s="33" t="str">
        <f>IF('IO List'!B230="GVL",CONCATENATE(": ",'IO List'!D230,";"),"")</f>
        <v/>
      </c>
      <c r="E230" s="33" t="str">
        <f>IF('IO List'!B230="GVL",CONCATENATE("// ",'IO List'!F230),"")</f>
        <v/>
      </c>
    </row>
    <row r="231" ht="14.25" customHeight="1">
      <c r="B231" s="33" t="str">
        <f>IF('IO List'!B231="GVL",CONCATENATE('IO List'!A231),"")</f>
        <v/>
      </c>
      <c r="C231" s="33" t="str">
        <f>IF('IO List'!B231="GVL",CONCATENATE("AT %",'IO List'!C231),"")</f>
        <v/>
      </c>
      <c r="D231" s="33" t="str">
        <f>IF('IO List'!B231="GVL",CONCATENATE(": ",'IO List'!D231,";"),"")</f>
        <v/>
      </c>
      <c r="E231" s="33" t="str">
        <f>IF('IO List'!B231="GVL",CONCATENATE("// ",'IO List'!F231),"")</f>
        <v/>
      </c>
    </row>
    <row r="232" ht="14.25" customHeight="1">
      <c r="B232" s="33" t="str">
        <f>IF('IO List'!B232="GVL",CONCATENATE('IO List'!A232),"")</f>
        <v/>
      </c>
      <c r="C232" s="33" t="str">
        <f>IF('IO List'!B232="GVL",CONCATENATE("AT %",'IO List'!C232),"")</f>
        <v/>
      </c>
      <c r="D232" s="33" t="str">
        <f>IF('IO List'!B232="GVL",CONCATENATE(": ",'IO List'!D232,";"),"")</f>
        <v/>
      </c>
      <c r="E232" s="33" t="str">
        <f>IF('IO List'!B232="GVL",CONCATENATE("// ",'IO List'!F232),"")</f>
        <v/>
      </c>
    </row>
    <row r="233" ht="14.25" customHeight="1">
      <c r="B233" s="33" t="str">
        <f>IF('IO List'!B233="GVL",CONCATENATE('IO List'!A233),"")</f>
        <v/>
      </c>
      <c r="C233" s="33" t="str">
        <f>IF('IO List'!B233="GVL",CONCATENATE("AT %",'IO List'!C233),"")</f>
        <v/>
      </c>
      <c r="D233" s="33" t="str">
        <f>IF('IO List'!B233="GVL",CONCATENATE(": ",'IO List'!D233,";"),"")</f>
        <v/>
      </c>
      <c r="E233" s="33" t="str">
        <f>IF('IO List'!B233="GVL",CONCATENATE("// ",'IO List'!F233),"")</f>
        <v/>
      </c>
    </row>
    <row r="234" ht="14.25" customHeight="1">
      <c r="B234" s="33" t="str">
        <f>IF('IO List'!B234="GVL",CONCATENATE('IO List'!A234),"")</f>
        <v/>
      </c>
      <c r="C234" s="33" t="str">
        <f>IF('IO List'!B234="GVL",CONCATENATE("AT %",'IO List'!C234),"")</f>
        <v/>
      </c>
      <c r="D234" s="33" t="str">
        <f>IF('IO List'!B234="GVL",CONCATENATE(": ",'IO List'!D234,";"),"")</f>
        <v/>
      </c>
      <c r="E234" s="33" t="str">
        <f>IF('IO List'!B234="GVL",CONCATENATE("// ",'IO List'!F234),"")</f>
        <v/>
      </c>
    </row>
    <row r="235" ht="14.25" customHeight="1">
      <c r="B235" s="33" t="str">
        <f>IF('IO List'!B235="GVL",CONCATENATE('IO List'!A235),"")</f>
        <v/>
      </c>
      <c r="C235" s="33" t="str">
        <f>IF('IO List'!B235="GVL",CONCATENATE("AT %",'IO List'!C235),"")</f>
        <v/>
      </c>
      <c r="D235" s="33" t="str">
        <f>IF('IO List'!B235="GVL",CONCATENATE(": ",'IO List'!D235,";"),"")</f>
        <v/>
      </c>
      <c r="E235" s="33" t="str">
        <f>IF('IO List'!B235="GVL",CONCATENATE("// ",'IO List'!F235),"")</f>
        <v/>
      </c>
    </row>
    <row r="236" ht="14.25" customHeight="1">
      <c r="B236" s="33" t="str">
        <f>IF('IO List'!B236="GVL",CONCATENATE('IO List'!A236),"")</f>
        <v/>
      </c>
      <c r="C236" s="33" t="str">
        <f>IF('IO List'!B236="GVL",CONCATENATE("AT %",'IO List'!C236),"")</f>
        <v/>
      </c>
      <c r="D236" s="33" t="str">
        <f>IF('IO List'!B236="GVL",CONCATENATE(": ",'IO List'!D236,";"),"")</f>
        <v/>
      </c>
      <c r="E236" s="33" t="str">
        <f>IF('IO List'!B236="GVL",CONCATENATE("// ",'IO List'!F236),"")</f>
        <v/>
      </c>
    </row>
    <row r="237" ht="14.25" customHeight="1">
      <c r="B237" s="33" t="str">
        <f>IF('IO List'!B237="GVL",CONCATENATE('IO List'!A237),"")</f>
        <v/>
      </c>
      <c r="C237" s="33" t="str">
        <f>IF('IO List'!B237="GVL",CONCATENATE("AT %",'IO List'!C237),"")</f>
        <v/>
      </c>
      <c r="D237" s="33" t="str">
        <f>IF('IO List'!B237="GVL",CONCATENATE(": ",'IO List'!D237,";"),"")</f>
        <v/>
      </c>
      <c r="E237" s="33" t="str">
        <f>IF('IO List'!B237="GVL",CONCATENATE("// ",'IO List'!F237),"")</f>
        <v/>
      </c>
    </row>
    <row r="238" ht="14.25" customHeight="1">
      <c r="B238" s="33" t="str">
        <f>IF('IO List'!B238="GVL",CONCATENATE('IO List'!A238),"")</f>
        <v/>
      </c>
      <c r="C238" s="33" t="str">
        <f>IF('IO List'!B238="GVL",CONCATENATE("AT %",'IO List'!C238),"")</f>
        <v/>
      </c>
      <c r="D238" s="33" t="str">
        <f>IF('IO List'!B238="GVL",CONCATENATE(": ",'IO List'!D238,";"),"")</f>
        <v/>
      </c>
      <c r="E238" s="33" t="str">
        <f>IF('IO List'!B238="GVL",CONCATENATE("// ",'IO List'!F238),"")</f>
        <v/>
      </c>
    </row>
    <row r="239" ht="14.25" customHeight="1">
      <c r="B239" s="33" t="str">
        <f>IF('IO List'!B239="GVL",CONCATENATE('IO List'!A239),"")</f>
        <v/>
      </c>
      <c r="C239" s="33" t="str">
        <f>IF('IO List'!B239="GVL",CONCATENATE("AT %",'IO List'!C239),"")</f>
        <v/>
      </c>
      <c r="D239" s="33" t="str">
        <f>IF('IO List'!B239="GVL",CONCATENATE(": ",'IO List'!D239,";"),"")</f>
        <v/>
      </c>
      <c r="E239" s="33" t="str">
        <f>IF('IO List'!B239="GVL",CONCATENATE("// ",'IO List'!F239),"")</f>
        <v/>
      </c>
    </row>
    <row r="240" ht="14.25" customHeight="1">
      <c r="B240" s="33" t="str">
        <f>IF('IO List'!B240="GVL",CONCATENATE('IO List'!A240),"")</f>
        <v/>
      </c>
      <c r="C240" s="33" t="str">
        <f>IF('IO List'!B240="GVL",CONCATENATE("AT %",'IO List'!C240),"")</f>
        <v/>
      </c>
      <c r="D240" s="33" t="str">
        <f>IF('IO List'!B240="GVL",CONCATENATE(": ",'IO List'!D240,";"),"")</f>
        <v/>
      </c>
      <c r="E240" s="33" t="str">
        <f>IF('IO List'!B240="GVL",CONCATENATE("// ",'IO List'!F240),"")</f>
        <v/>
      </c>
    </row>
    <row r="241" ht="14.25" customHeight="1">
      <c r="B241" s="33" t="str">
        <f>IF('IO List'!B241="GVL",CONCATENATE('IO List'!A241),"")</f>
        <v/>
      </c>
      <c r="C241" s="33" t="str">
        <f>IF('IO List'!B241="GVL",CONCATENATE("AT %",'IO List'!C241),"")</f>
        <v/>
      </c>
      <c r="D241" s="33" t="str">
        <f>IF('IO List'!B241="GVL",CONCATENATE(": ",'IO List'!D241,";"),"")</f>
        <v/>
      </c>
      <c r="E241" s="33" t="str">
        <f>IF('IO List'!B241="GVL",CONCATENATE("// ",'IO List'!F241),"")</f>
        <v/>
      </c>
    </row>
    <row r="242" ht="14.25" customHeight="1">
      <c r="B242" s="33" t="str">
        <f>IF('IO List'!B242="GVL",CONCATENATE('IO List'!A242),"")</f>
        <v/>
      </c>
      <c r="C242" s="33" t="str">
        <f>IF('IO List'!B242="GVL",CONCATENATE("AT %",'IO List'!C242),"")</f>
        <v/>
      </c>
      <c r="D242" s="33" t="str">
        <f>IF('IO List'!B242="GVL",CONCATENATE(": ",'IO List'!D242,";"),"")</f>
        <v/>
      </c>
      <c r="E242" s="33" t="str">
        <f>IF('IO List'!B242="GVL",CONCATENATE("// ",'IO List'!F242),"")</f>
        <v/>
      </c>
    </row>
    <row r="243" ht="14.25" customHeight="1">
      <c r="B243" s="33" t="str">
        <f>IF('IO List'!B243="GVL",CONCATENATE('IO List'!A243),"")</f>
        <v/>
      </c>
      <c r="C243" s="33" t="str">
        <f>IF('IO List'!B243="GVL",CONCATENATE("AT %",'IO List'!C243),"")</f>
        <v/>
      </c>
      <c r="D243" s="33" t="str">
        <f>IF('IO List'!B243="GVL",CONCATENATE(": ",'IO List'!D243,";"),"")</f>
        <v/>
      </c>
      <c r="E243" s="33" t="str">
        <f>IF('IO List'!B243="GVL",CONCATENATE("// ",'IO List'!F243),"")</f>
        <v/>
      </c>
    </row>
    <row r="244" ht="14.25" customHeight="1">
      <c r="B244" s="33" t="str">
        <f>IF('IO List'!B244="GVL",CONCATENATE('IO List'!A244),"")</f>
        <v/>
      </c>
      <c r="C244" s="33" t="str">
        <f>IF('IO List'!B244="GVL",CONCATENATE("AT %",'IO List'!C244),"")</f>
        <v/>
      </c>
      <c r="D244" s="33" t="str">
        <f>IF('IO List'!B244="GVL",CONCATENATE(": ",'IO List'!D244,";"),"")</f>
        <v/>
      </c>
      <c r="E244" s="33" t="str">
        <f>IF('IO List'!B244="GVL",CONCATENATE("// ",'IO List'!F244),"")</f>
        <v/>
      </c>
    </row>
    <row r="245" ht="14.25" customHeight="1">
      <c r="B245" s="33" t="str">
        <f>IF('IO List'!B245="GVL",CONCATENATE('IO List'!A245),"")</f>
        <v/>
      </c>
      <c r="C245" s="33" t="str">
        <f>IF('IO List'!B245="GVL",CONCATENATE("AT %",'IO List'!C245),"")</f>
        <v/>
      </c>
      <c r="D245" s="33" t="str">
        <f>IF('IO List'!B245="GVL",CONCATENATE(": ",'IO List'!D245,";"),"")</f>
        <v/>
      </c>
      <c r="E245" s="33" t="str">
        <f>IF('IO List'!B245="GVL",CONCATENATE("// ",'IO List'!F245),"")</f>
        <v/>
      </c>
    </row>
    <row r="246" ht="14.25" customHeight="1">
      <c r="B246" s="33" t="str">
        <f>IF('IO List'!B246="GVL",CONCATENATE('IO List'!A246),"")</f>
        <v/>
      </c>
      <c r="C246" s="33" t="str">
        <f>IF('IO List'!B246="GVL",CONCATENATE("AT %",'IO List'!C246),"")</f>
        <v/>
      </c>
      <c r="D246" s="33" t="str">
        <f>IF('IO List'!B246="GVL",CONCATENATE(": ",'IO List'!D246,";"),"")</f>
        <v/>
      </c>
      <c r="E246" s="33" t="str">
        <f>IF('IO List'!B246="GVL",CONCATENATE("// ",'IO List'!F246),"")</f>
        <v/>
      </c>
    </row>
    <row r="247" ht="14.25" customHeight="1">
      <c r="B247" s="33" t="str">
        <f>IF('IO List'!B247="GVL",CONCATENATE('IO List'!A247),"")</f>
        <v/>
      </c>
      <c r="C247" s="33" t="str">
        <f>IF('IO List'!B247="GVL",CONCATENATE("AT %",'IO List'!C247),"")</f>
        <v/>
      </c>
      <c r="D247" s="33" t="str">
        <f>IF('IO List'!B247="GVL",CONCATENATE(": ",'IO List'!D247,";"),"")</f>
        <v/>
      </c>
      <c r="E247" s="33" t="str">
        <f>IF('IO List'!B247="GVL",CONCATENATE("// ",'IO List'!F247),"")</f>
        <v/>
      </c>
    </row>
    <row r="248" ht="14.25" customHeight="1">
      <c r="B248" s="33" t="str">
        <f>IF('IO List'!B248="GVL",CONCATENATE('IO List'!A248),"")</f>
        <v/>
      </c>
      <c r="C248" s="33" t="str">
        <f>IF('IO List'!B248="GVL",CONCATENATE("AT %",'IO List'!C248),"")</f>
        <v/>
      </c>
      <c r="D248" s="33" t="str">
        <f>IF('IO List'!B248="GVL",CONCATENATE(": ",'IO List'!D248,";"),"")</f>
        <v/>
      </c>
      <c r="E248" s="33" t="str">
        <f>IF('IO List'!B248="GVL",CONCATENATE("// ",'IO List'!F248),"")</f>
        <v/>
      </c>
    </row>
    <row r="249" ht="14.25" customHeight="1">
      <c r="B249" s="33" t="str">
        <f>IF('IO List'!B249="GVL",CONCATENATE('IO List'!A249),"")</f>
        <v/>
      </c>
      <c r="C249" s="33" t="str">
        <f>IF('IO List'!B249="GVL",CONCATENATE("AT %",'IO List'!C249),"")</f>
        <v/>
      </c>
      <c r="D249" s="33" t="str">
        <f>IF('IO List'!B249="GVL",CONCATENATE(": ",'IO List'!D249,";"),"")</f>
        <v/>
      </c>
      <c r="E249" s="33" t="str">
        <f>IF('IO List'!B249="GVL",CONCATENATE("// ",'IO List'!F249),"")</f>
        <v/>
      </c>
    </row>
    <row r="250" ht="14.25" customHeight="1">
      <c r="B250" s="33" t="str">
        <f>IF('IO List'!B250="GVL",CONCATENATE('IO List'!A250),"")</f>
        <v/>
      </c>
      <c r="C250" s="33" t="str">
        <f>IF('IO List'!B250="GVL",CONCATENATE("AT %",'IO List'!C250),"")</f>
        <v/>
      </c>
      <c r="D250" s="33" t="str">
        <f>IF('IO List'!B250="GVL",CONCATENATE(": ",'IO List'!D250,";"),"")</f>
        <v/>
      </c>
      <c r="E250" s="33" t="str">
        <f>IF('IO List'!B250="GVL",CONCATENATE("// ",'IO List'!F250),"")</f>
        <v/>
      </c>
    </row>
    <row r="251" ht="14.25" customHeight="1">
      <c r="B251" s="33" t="str">
        <f>IF('IO List'!B251="GVL",CONCATENATE('IO List'!A251),"")</f>
        <v/>
      </c>
      <c r="C251" s="33" t="str">
        <f>IF('IO List'!B251="GVL",CONCATENATE("AT %",'IO List'!C251),"")</f>
        <v/>
      </c>
      <c r="D251" s="33" t="str">
        <f>IF('IO List'!B251="GVL",CONCATENATE(": ",'IO List'!D251,";"),"")</f>
        <v/>
      </c>
      <c r="E251" s="33" t="str">
        <f>IF('IO List'!B251="GVL",CONCATENATE("// ",'IO List'!F251),"")</f>
        <v/>
      </c>
    </row>
    <row r="252" ht="14.25" customHeight="1">
      <c r="B252" s="33" t="str">
        <f>IF('IO List'!B252="GVL",CONCATENATE('IO List'!A252),"")</f>
        <v/>
      </c>
      <c r="C252" s="33" t="str">
        <f>IF('IO List'!B252="GVL",CONCATENATE("AT %",'IO List'!C252),"")</f>
        <v/>
      </c>
      <c r="D252" s="33" t="str">
        <f>IF('IO List'!B252="GVL",CONCATENATE(": ",'IO List'!D252,";"),"")</f>
        <v/>
      </c>
      <c r="E252" s="33" t="str">
        <f>IF('IO List'!B252="GVL",CONCATENATE("// ",'IO List'!F252),"")</f>
        <v/>
      </c>
    </row>
    <row r="253" ht="14.25" customHeight="1">
      <c r="B253" s="33" t="str">
        <f>IF('IO List'!B253="GVL",CONCATENATE('IO List'!A253),"")</f>
        <v/>
      </c>
      <c r="C253" s="33" t="str">
        <f>IF('IO List'!B253="GVL",CONCATENATE("AT %",'IO List'!C253),"")</f>
        <v/>
      </c>
      <c r="D253" s="33" t="str">
        <f>IF('IO List'!B253="GVL",CONCATENATE(": ",'IO List'!D253,";"),"")</f>
        <v/>
      </c>
      <c r="E253" s="33" t="str">
        <f>IF('IO List'!B253="GVL",CONCATENATE("// ",'IO List'!F253),"")</f>
        <v/>
      </c>
    </row>
    <row r="254" ht="14.25" customHeight="1">
      <c r="B254" s="33" t="str">
        <f>IF('IO List'!B254="GVL",CONCATENATE('IO List'!A254),"")</f>
        <v/>
      </c>
      <c r="C254" s="33" t="str">
        <f>IF('IO List'!B254="GVL",CONCATENATE("AT %",'IO List'!C254),"")</f>
        <v/>
      </c>
      <c r="D254" s="33" t="str">
        <f>IF('IO List'!B254="GVL",CONCATENATE(": ",'IO List'!D254,";"),"")</f>
        <v/>
      </c>
      <c r="E254" s="33" t="str">
        <f>IF('IO List'!B254="GVL",CONCATENATE("// ",'IO List'!F254),"")</f>
        <v/>
      </c>
    </row>
    <row r="255" ht="14.25" customHeight="1">
      <c r="B255" s="33" t="str">
        <f>IF('IO List'!B255="GVL",CONCATENATE('IO List'!A255),"")</f>
        <v/>
      </c>
      <c r="C255" s="33" t="str">
        <f>IF('IO List'!B255="GVL",CONCATENATE("AT %",'IO List'!C255),"")</f>
        <v/>
      </c>
      <c r="D255" s="33" t="str">
        <f>IF('IO List'!B255="GVL",CONCATENATE(": ",'IO List'!D255,";"),"")</f>
        <v/>
      </c>
      <c r="E255" s="33" t="str">
        <f>IF('IO List'!B255="GVL",CONCATENATE("// ",'IO List'!F255),"")</f>
        <v/>
      </c>
    </row>
    <row r="256" ht="14.25" customHeight="1">
      <c r="B256" s="33" t="str">
        <f>IF('IO List'!B256="GVL",CONCATENATE('IO List'!A256),"")</f>
        <v/>
      </c>
      <c r="C256" s="33" t="str">
        <f>IF('IO List'!B256="GVL",CONCATENATE("AT %",'IO List'!C256),"")</f>
        <v/>
      </c>
      <c r="D256" s="33" t="str">
        <f>IF('IO List'!B256="GVL",CONCATENATE(": ",'IO List'!D256,";"),"")</f>
        <v/>
      </c>
      <c r="E256" s="33" t="str">
        <f>IF('IO List'!B256="GVL",CONCATENATE("// ",'IO List'!F256),"")</f>
        <v/>
      </c>
    </row>
    <row r="257" ht="14.25" customHeight="1">
      <c r="B257" s="33" t="str">
        <f>IF('IO List'!B257="GVL",CONCATENATE('IO List'!A257),"")</f>
        <v/>
      </c>
      <c r="C257" s="33" t="str">
        <f>IF('IO List'!B257="GVL",CONCATENATE("AT %",'IO List'!C257),"")</f>
        <v/>
      </c>
      <c r="D257" s="33" t="str">
        <f>IF('IO List'!B257="GVL",CONCATENATE(": ",'IO List'!D257,";"),"")</f>
        <v/>
      </c>
      <c r="E257" s="33" t="str">
        <f>IF('IO List'!B257="GVL",CONCATENATE("// ",'IO List'!F257),"")</f>
        <v/>
      </c>
    </row>
    <row r="258" ht="14.25" customHeight="1">
      <c r="B258" s="33" t="str">
        <f>IF('IO List'!B258="GVL",CONCATENATE('IO List'!A258),"")</f>
        <v/>
      </c>
      <c r="C258" s="33" t="str">
        <f>IF('IO List'!B258="GVL",CONCATENATE("AT %",'IO List'!C258),"")</f>
        <v/>
      </c>
      <c r="D258" s="33" t="str">
        <f>IF('IO List'!B258="GVL",CONCATENATE(": ",'IO List'!D258,";"),"")</f>
        <v/>
      </c>
      <c r="E258" s="33" t="str">
        <f>IF('IO List'!B258="GVL",CONCATENATE("// ",'IO List'!F258),"")</f>
        <v/>
      </c>
    </row>
    <row r="259" ht="14.25" customHeight="1">
      <c r="B259" s="33" t="str">
        <f>IF('IO List'!B259="GVL",CONCATENATE('IO List'!A259),"")</f>
        <v/>
      </c>
      <c r="C259" s="33" t="str">
        <f>IF('IO List'!B259="GVL",CONCATENATE("AT %",'IO List'!C259),"")</f>
        <v/>
      </c>
      <c r="D259" s="33" t="str">
        <f>IF('IO List'!B259="GVL",CONCATENATE(": ",'IO List'!D259,";"),"")</f>
        <v/>
      </c>
      <c r="E259" s="33" t="str">
        <f>IF('IO List'!B259="GVL",CONCATENATE("// ",'IO List'!F259),"")</f>
        <v/>
      </c>
    </row>
    <row r="260" ht="14.25" customHeight="1">
      <c r="B260" s="33" t="str">
        <f>IF('IO List'!B260="GVL",CONCATENATE('IO List'!A260),"")</f>
        <v/>
      </c>
      <c r="C260" s="33" t="str">
        <f>IF('IO List'!B260="GVL",CONCATENATE("AT %",'IO List'!C260),"")</f>
        <v/>
      </c>
      <c r="D260" s="33" t="str">
        <f>IF('IO List'!B260="GVL",CONCATENATE(": ",'IO List'!D260,";"),"")</f>
        <v/>
      </c>
      <c r="E260" s="33" t="str">
        <f>IF('IO List'!B260="GVL",CONCATENATE("// ",'IO List'!F260),"")</f>
        <v/>
      </c>
    </row>
    <row r="261" ht="14.25" customHeight="1">
      <c r="B261" s="33" t="str">
        <f>IF('IO List'!B261="GVL",CONCATENATE('IO List'!A261),"")</f>
        <v/>
      </c>
      <c r="C261" s="33" t="str">
        <f>IF('IO List'!B261="GVL",CONCATENATE("AT %",'IO List'!C261),"")</f>
        <v/>
      </c>
      <c r="D261" s="33" t="str">
        <f>IF('IO List'!B261="GVL",CONCATENATE(": ",'IO List'!D261,";"),"")</f>
        <v/>
      </c>
      <c r="E261" s="33" t="str">
        <f>IF('IO List'!B261="GVL",CONCATENATE("// ",'IO List'!F261),"")</f>
        <v/>
      </c>
    </row>
    <row r="262" ht="14.25" customHeight="1">
      <c r="B262" s="33" t="str">
        <f>IF('IO List'!B262="GVL",CONCATENATE('IO List'!A262),"")</f>
        <v/>
      </c>
      <c r="C262" s="33" t="str">
        <f>IF('IO List'!B262="GVL",CONCATENATE("AT %",'IO List'!C262),"")</f>
        <v/>
      </c>
      <c r="D262" s="33" t="str">
        <f>IF('IO List'!B262="GVL",CONCATENATE(": ",'IO List'!D262,";"),"")</f>
        <v/>
      </c>
      <c r="E262" s="33" t="str">
        <f>IF('IO List'!B262="GVL",CONCATENATE("// ",'IO List'!F262),"")</f>
        <v/>
      </c>
    </row>
    <row r="263" ht="14.25" customHeight="1">
      <c r="B263" s="33" t="str">
        <f>IF('IO List'!B263="GVL",CONCATENATE('IO List'!A263),"")</f>
        <v/>
      </c>
      <c r="C263" s="33" t="str">
        <f>IF('IO List'!B263="GVL",CONCATENATE("AT %",'IO List'!C263),"")</f>
        <v/>
      </c>
      <c r="D263" s="33" t="str">
        <f>IF('IO List'!B263="GVL",CONCATENATE(": ",'IO List'!D263,";"),"")</f>
        <v/>
      </c>
      <c r="E263" s="33" t="str">
        <f>IF('IO List'!B263="GVL",CONCATENATE("// ",'IO List'!F263),"")</f>
        <v/>
      </c>
    </row>
    <row r="264" ht="14.25" customHeight="1">
      <c r="B264" s="33" t="str">
        <f>IF('IO List'!B264="GVL",CONCATENATE('IO List'!A264),"")</f>
        <v/>
      </c>
      <c r="C264" s="33" t="str">
        <f>IF('IO List'!B264="GVL",CONCATENATE("AT %",'IO List'!C264),"")</f>
        <v/>
      </c>
      <c r="D264" s="33" t="str">
        <f>IF('IO List'!B264="GVL",CONCATENATE(": ",'IO List'!D264,";"),"")</f>
        <v/>
      </c>
      <c r="E264" s="33" t="str">
        <f>IF('IO List'!B264="GVL",CONCATENATE("// ",'IO List'!F264),"")</f>
        <v/>
      </c>
    </row>
    <row r="265" ht="14.25" customHeight="1">
      <c r="B265" s="33" t="str">
        <f>IF('IO List'!B265="GVL",CONCATENATE('IO List'!A265),"")</f>
        <v/>
      </c>
      <c r="C265" s="33" t="str">
        <f>IF('IO List'!B265="GVL",CONCATENATE("AT %",'IO List'!C265),"")</f>
        <v/>
      </c>
      <c r="D265" s="33" t="str">
        <f>IF('IO List'!B265="GVL",CONCATENATE(": ",'IO List'!D265,";"),"")</f>
        <v/>
      </c>
      <c r="E265" s="33" t="str">
        <f>IF('IO List'!B265="GVL",CONCATENATE("// ",'IO List'!F265),"")</f>
        <v/>
      </c>
    </row>
    <row r="266" ht="14.25" customHeight="1">
      <c r="B266" s="33" t="str">
        <f>IF('IO List'!B266="GVL",CONCATENATE('IO List'!A266),"")</f>
        <v/>
      </c>
      <c r="C266" s="33" t="str">
        <f>IF('IO List'!B266="GVL",CONCATENATE("AT %",'IO List'!C266),"")</f>
        <v/>
      </c>
      <c r="D266" s="33" t="str">
        <f>IF('IO List'!B266="GVL",CONCATENATE(": ",'IO List'!D266,";"),"")</f>
        <v/>
      </c>
      <c r="E266" s="33" t="str">
        <f>IF('IO List'!B266="GVL",CONCATENATE("// ",'IO List'!F266),"")</f>
        <v/>
      </c>
    </row>
    <row r="267" ht="14.25" customHeight="1">
      <c r="B267" s="33" t="str">
        <f>IF('IO List'!B267="GVL",CONCATENATE('IO List'!A267),"")</f>
        <v/>
      </c>
      <c r="C267" s="33" t="str">
        <f>IF('IO List'!B267="GVL",CONCATENATE("AT %",'IO List'!C267),"")</f>
        <v/>
      </c>
      <c r="D267" s="33" t="str">
        <f>IF('IO List'!B267="GVL",CONCATENATE(": ",'IO List'!D267,";"),"")</f>
        <v/>
      </c>
      <c r="E267" s="33" t="str">
        <f>IF('IO List'!B267="GVL",CONCATENATE("// ",'IO List'!F267),"")</f>
        <v/>
      </c>
    </row>
    <row r="268" ht="14.25" customHeight="1">
      <c r="B268" s="33" t="str">
        <f>IF('IO List'!B268="GVL",CONCATENATE('IO List'!A268),"")</f>
        <v/>
      </c>
      <c r="C268" s="33" t="str">
        <f>IF('IO List'!B268="GVL",CONCATENATE("AT %",'IO List'!C268),"")</f>
        <v/>
      </c>
      <c r="D268" s="33" t="str">
        <f>IF('IO List'!B268="GVL",CONCATENATE(": ",'IO List'!D268,";"),"")</f>
        <v/>
      </c>
      <c r="E268" s="33" t="str">
        <f>IF('IO List'!B268="GVL",CONCATENATE("// ",'IO List'!F268),"")</f>
        <v/>
      </c>
    </row>
    <row r="269" ht="14.25" customHeight="1">
      <c r="B269" s="33" t="str">
        <f>IF('IO List'!B269="GVL",CONCATENATE('IO List'!A269),"")</f>
        <v/>
      </c>
      <c r="C269" s="33" t="str">
        <f>IF('IO List'!B269="GVL",CONCATENATE("AT %",'IO List'!C269),"")</f>
        <v/>
      </c>
      <c r="D269" s="33" t="str">
        <f>IF('IO List'!B269="GVL",CONCATENATE(": ",'IO List'!D269,";"),"")</f>
        <v/>
      </c>
      <c r="E269" s="33" t="str">
        <f>IF('IO List'!B269="GVL",CONCATENATE("// ",'IO List'!F269),"")</f>
        <v/>
      </c>
    </row>
    <row r="270" ht="14.25" customHeight="1">
      <c r="B270" s="33" t="str">
        <f>IF('IO List'!B270="GVL",CONCATENATE('IO List'!A270),"")</f>
        <v/>
      </c>
      <c r="C270" s="33" t="str">
        <f>IF('IO List'!B270="GVL",CONCATENATE("AT %",'IO List'!C270),"")</f>
        <v/>
      </c>
      <c r="D270" s="33" t="str">
        <f>IF('IO List'!B270="GVL",CONCATENATE(": ",'IO List'!D270,";"),"")</f>
        <v/>
      </c>
      <c r="E270" s="33" t="str">
        <f>IF('IO List'!B270="GVL",CONCATENATE("// ",'IO List'!F270),"")</f>
        <v/>
      </c>
    </row>
    <row r="271" ht="14.25" customHeight="1">
      <c r="B271" s="33" t="str">
        <f>IF('IO List'!B271="GVL",CONCATENATE('IO List'!A271),"")</f>
        <v/>
      </c>
      <c r="C271" s="33" t="str">
        <f>IF('IO List'!B271="GVL",CONCATENATE("AT %",'IO List'!C271),"")</f>
        <v/>
      </c>
      <c r="D271" s="33" t="str">
        <f>IF('IO List'!B271="GVL",CONCATENATE(": ",'IO List'!D271,";"),"")</f>
        <v/>
      </c>
      <c r="E271" s="33" t="str">
        <f>IF('IO List'!B271="GVL",CONCATENATE("// ",'IO List'!F271),"")</f>
        <v/>
      </c>
    </row>
    <row r="272" ht="14.25" customHeight="1">
      <c r="B272" s="33" t="str">
        <f>IF('IO List'!B272="GVL",CONCATENATE('IO List'!A272),"")</f>
        <v/>
      </c>
      <c r="C272" s="33" t="str">
        <f>IF('IO List'!B272="GVL",CONCATENATE("AT %",'IO List'!C272),"")</f>
        <v/>
      </c>
      <c r="D272" s="33" t="str">
        <f>IF('IO List'!B272="GVL",CONCATENATE(": ",'IO List'!D272,";"),"")</f>
        <v/>
      </c>
      <c r="E272" s="33" t="str">
        <f>IF('IO List'!B272="GVL",CONCATENATE("// ",'IO List'!F272),"")</f>
        <v/>
      </c>
    </row>
    <row r="273" ht="14.25" customHeight="1">
      <c r="B273" s="33" t="str">
        <f>IF('IO List'!B273="GVL",CONCATENATE('IO List'!A273),"")</f>
        <v/>
      </c>
      <c r="C273" s="33" t="str">
        <f>IF('IO List'!B273="GVL",CONCATENATE("AT %",'IO List'!C273),"")</f>
        <v/>
      </c>
      <c r="D273" s="33" t="str">
        <f>IF('IO List'!B273="GVL",CONCATENATE(": ",'IO List'!D273,";"),"")</f>
        <v/>
      </c>
      <c r="E273" s="33" t="str">
        <f>IF('IO List'!B273="GVL",CONCATENATE("// ",'IO List'!F273),"")</f>
        <v/>
      </c>
    </row>
    <row r="274" ht="14.25" customHeight="1">
      <c r="B274" s="33" t="str">
        <f>IF('IO List'!B274="GVL",CONCATENATE('IO List'!A274),"")</f>
        <v/>
      </c>
      <c r="C274" s="33" t="str">
        <f>IF('IO List'!B274="GVL",CONCATENATE("AT %",'IO List'!C274),"")</f>
        <v/>
      </c>
      <c r="D274" s="33" t="str">
        <f>IF('IO List'!B274="GVL",CONCATENATE(": ",'IO List'!D274,";"),"")</f>
        <v/>
      </c>
      <c r="E274" s="33" t="str">
        <f>IF('IO List'!B274="GVL",CONCATENATE("// ",'IO List'!F274),"")</f>
        <v/>
      </c>
    </row>
    <row r="275" ht="14.25" customHeight="1">
      <c r="B275" s="33" t="str">
        <f>IF('IO List'!B275="GVL",CONCATENATE('IO List'!A275),"")</f>
        <v/>
      </c>
      <c r="C275" s="33" t="str">
        <f>IF('IO List'!B275="GVL",CONCATENATE("AT %",'IO List'!C275),"")</f>
        <v/>
      </c>
      <c r="D275" s="33" t="str">
        <f>IF('IO List'!B275="GVL",CONCATENATE(": ",'IO List'!D275,";"),"")</f>
        <v/>
      </c>
      <c r="E275" s="33" t="str">
        <f>IF('IO List'!B275="GVL",CONCATENATE("// ",'IO List'!F275),"")</f>
        <v/>
      </c>
    </row>
    <row r="276" ht="14.25" customHeight="1">
      <c r="B276" s="33" t="str">
        <f>IF('IO List'!B276="GVL",CONCATENATE('IO List'!A276),"")</f>
        <v/>
      </c>
      <c r="C276" s="33" t="str">
        <f>IF('IO List'!B276="GVL",CONCATENATE("AT %",'IO List'!C276),"")</f>
        <v/>
      </c>
      <c r="D276" s="33" t="str">
        <f>IF('IO List'!B276="GVL",CONCATENATE(": ",'IO List'!D276,";"),"")</f>
        <v/>
      </c>
      <c r="E276" s="33" t="str">
        <f>IF('IO List'!B276="GVL",CONCATENATE("// ",'IO List'!F276),"")</f>
        <v/>
      </c>
    </row>
    <row r="277" ht="14.25" customHeight="1">
      <c r="B277" s="33" t="str">
        <f>IF('IO List'!B277="GVL",CONCATENATE('IO List'!A277),"")</f>
        <v/>
      </c>
      <c r="C277" s="33" t="str">
        <f>IF('IO List'!B277="GVL",CONCATENATE("AT %",'IO List'!C277),"")</f>
        <v/>
      </c>
      <c r="D277" s="33" t="str">
        <f>IF('IO List'!B277="GVL",CONCATENATE(": ",'IO List'!D277,";"),"")</f>
        <v/>
      </c>
      <c r="E277" s="33" t="str">
        <f>IF('IO List'!B277="GVL",CONCATENATE("// ",'IO List'!F277),"")</f>
        <v/>
      </c>
    </row>
    <row r="278" ht="14.25" customHeight="1">
      <c r="B278" s="33" t="str">
        <f>IF('IO List'!B278="GVL",CONCATENATE('IO List'!A278),"")</f>
        <v/>
      </c>
      <c r="C278" s="33" t="str">
        <f>IF('IO List'!B278="GVL",CONCATENATE("AT %",'IO List'!C278),"")</f>
        <v/>
      </c>
      <c r="D278" s="33" t="str">
        <f>IF('IO List'!B278="GVL",CONCATENATE(": ",'IO List'!D278,";"),"")</f>
        <v/>
      </c>
      <c r="E278" s="33" t="str">
        <f>IF('IO List'!B278="GVL",CONCATENATE("// ",'IO List'!F278),"")</f>
        <v/>
      </c>
    </row>
    <row r="279" ht="14.25" customHeight="1">
      <c r="B279" s="33" t="str">
        <f>IF('IO List'!B279="GVL",CONCATENATE('IO List'!A279),"")</f>
        <v/>
      </c>
      <c r="C279" s="33" t="str">
        <f>IF('IO List'!B279="GVL",CONCATENATE("AT %",'IO List'!C279),"")</f>
        <v/>
      </c>
      <c r="D279" s="33" t="str">
        <f>IF('IO List'!B279="GVL",CONCATENATE(": ",'IO List'!D279,";"),"")</f>
        <v/>
      </c>
      <c r="E279" s="33" t="str">
        <f>IF('IO List'!B279="GVL",CONCATENATE("// ",'IO List'!F279),"")</f>
        <v/>
      </c>
    </row>
    <row r="280" ht="14.25" customHeight="1">
      <c r="B280" s="33" t="str">
        <f>IF('IO List'!B280="GVL",CONCATENATE('IO List'!A280),"")</f>
        <v/>
      </c>
      <c r="C280" s="33" t="str">
        <f>IF('IO List'!B280="GVL",CONCATENATE("AT %",'IO List'!C280),"")</f>
        <v/>
      </c>
      <c r="D280" s="33" t="str">
        <f>IF('IO List'!B280="GVL",CONCATENATE(": ",'IO List'!D280,";"),"")</f>
        <v/>
      </c>
      <c r="E280" s="33" t="str">
        <f>IF('IO List'!B280="GVL",CONCATENATE("// ",'IO List'!F280),"")</f>
        <v/>
      </c>
    </row>
    <row r="281" ht="14.25" customHeight="1">
      <c r="B281" s="33" t="str">
        <f>IF('IO List'!B281="GVL",CONCATENATE('IO List'!A281),"")</f>
        <v/>
      </c>
      <c r="C281" s="33" t="str">
        <f>IF('IO List'!B281="GVL",CONCATENATE("AT %",'IO List'!C281),"")</f>
        <v/>
      </c>
      <c r="D281" s="33" t="str">
        <f>IF('IO List'!B281="GVL",CONCATENATE(": ",'IO List'!D281,";"),"")</f>
        <v/>
      </c>
      <c r="E281" s="33" t="str">
        <f>IF('IO List'!B281="GVL",CONCATENATE("// ",'IO List'!F281),"")</f>
        <v/>
      </c>
    </row>
    <row r="282" ht="14.25" customHeight="1">
      <c r="B282" s="33" t="str">
        <f>IF('IO List'!B282="GVL",CONCATENATE('IO List'!A282),"")</f>
        <v/>
      </c>
      <c r="C282" s="33" t="str">
        <f>IF('IO List'!B282="GVL",CONCATENATE("AT %",'IO List'!C282),"")</f>
        <v/>
      </c>
      <c r="D282" s="33" t="str">
        <f>IF('IO List'!B282="GVL",CONCATENATE(": ",'IO List'!D282,";"),"")</f>
        <v/>
      </c>
      <c r="E282" s="33" t="str">
        <f>IF('IO List'!B282="GVL",CONCATENATE("// ",'IO List'!F282),"")</f>
        <v/>
      </c>
    </row>
    <row r="283" ht="14.25" customHeight="1">
      <c r="B283" s="33" t="str">
        <f>IF('IO List'!B283="GVL",CONCATENATE('IO List'!A283),"")</f>
        <v/>
      </c>
      <c r="C283" s="33" t="str">
        <f>IF('IO List'!B283="GVL",CONCATENATE("AT %",'IO List'!C283),"")</f>
        <v/>
      </c>
      <c r="D283" s="33" t="str">
        <f>IF('IO List'!B283="GVL",CONCATENATE(": ",'IO List'!D283,";"),"")</f>
        <v/>
      </c>
      <c r="E283" s="33" t="str">
        <f>IF('IO List'!B283="GVL",CONCATENATE("// ",'IO List'!F283),"")</f>
        <v/>
      </c>
    </row>
    <row r="284" ht="14.25" customHeight="1">
      <c r="B284" s="33" t="str">
        <f>IF('IO List'!B284="GVL",CONCATENATE('IO List'!A284),"")</f>
        <v/>
      </c>
      <c r="C284" s="33" t="str">
        <f>IF('IO List'!B284="GVL",CONCATENATE("AT %",'IO List'!C284),"")</f>
        <v/>
      </c>
      <c r="D284" s="33" t="str">
        <f>IF('IO List'!B284="GVL",CONCATENATE(": ",'IO List'!D284,";"),"")</f>
        <v/>
      </c>
      <c r="E284" s="33" t="str">
        <f>IF('IO List'!B284="GVL",CONCATENATE("// ",'IO List'!F284),"")</f>
        <v/>
      </c>
    </row>
    <row r="285" ht="14.25" customHeight="1">
      <c r="B285" s="33" t="str">
        <f>IF('IO List'!B285="GVL",CONCATENATE('IO List'!A285),"")</f>
        <v/>
      </c>
      <c r="C285" s="33" t="str">
        <f>IF('IO List'!B285="GVL",CONCATENATE("AT %",'IO List'!C285),"")</f>
        <v/>
      </c>
      <c r="D285" s="33" t="str">
        <f>IF('IO List'!B285="GVL",CONCATENATE(": ",'IO List'!D285,";"),"")</f>
        <v/>
      </c>
      <c r="E285" s="33" t="str">
        <f>IF('IO List'!B285="GVL",CONCATENATE("// ",'IO List'!F285),"")</f>
        <v/>
      </c>
    </row>
    <row r="286" ht="14.25" customHeight="1">
      <c r="B286" s="33" t="str">
        <f>IF('IO List'!B286="GVL",CONCATENATE('IO List'!A286),"")</f>
        <v/>
      </c>
      <c r="C286" s="33" t="str">
        <f>IF('IO List'!B286="GVL",CONCATENATE("AT %",'IO List'!C286),"")</f>
        <v/>
      </c>
      <c r="D286" s="33" t="str">
        <f>IF('IO List'!B286="GVL",CONCATENATE(": ",'IO List'!D286,";"),"")</f>
        <v/>
      </c>
      <c r="E286" s="33" t="str">
        <f>IF('IO List'!B286="GVL",CONCATENATE("// ",'IO List'!F286),"")</f>
        <v/>
      </c>
    </row>
    <row r="287" ht="14.25" customHeight="1">
      <c r="B287" s="33" t="str">
        <f>IF('IO List'!B287="GVL",CONCATENATE('IO List'!A287),"")</f>
        <v/>
      </c>
      <c r="C287" s="33" t="str">
        <f>IF('IO List'!B287="GVL",CONCATENATE("AT %",'IO List'!C287),"")</f>
        <v/>
      </c>
      <c r="D287" s="33" t="str">
        <f>IF('IO List'!B287="GVL",CONCATENATE(": ",'IO List'!D287,";"),"")</f>
        <v/>
      </c>
      <c r="E287" s="33" t="str">
        <f>IF('IO List'!B287="GVL",CONCATENATE("// ",'IO List'!F287),"")</f>
        <v/>
      </c>
    </row>
    <row r="288" ht="14.25" customHeight="1">
      <c r="B288" s="33" t="str">
        <f>IF('IO List'!B288="GVL",CONCATENATE('IO List'!A288),"")</f>
        <v/>
      </c>
      <c r="C288" s="33" t="str">
        <f>IF('IO List'!B288="GVL",CONCATENATE("AT %",'IO List'!C288),"")</f>
        <v/>
      </c>
      <c r="D288" s="33" t="str">
        <f>IF('IO List'!B288="GVL",CONCATENATE(": ",'IO List'!D288,";"),"")</f>
        <v/>
      </c>
      <c r="E288" s="33" t="str">
        <f>IF('IO List'!B288="GVL",CONCATENATE("// ",'IO List'!F288),"")</f>
        <v/>
      </c>
    </row>
    <row r="289" ht="14.25" customHeight="1">
      <c r="B289" s="33" t="str">
        <f>IF('IO List'!B289="GVL",CONCATENATE('IO List'!A289),"")</f>
        <v/>
      </c>
      <c r="C289" s="33" t="str">
        <f>IF('IO List'!B289="GVL",CONCATENATE("AT %",'IO List'!C289),"")</f>
        <v/>
      </c>
      <c r="D289" s="33" t="str">
        <f>IF('IO List'!B289="GVL",CONCATENATE(": ",'IO List'!D289,";"),"")</f>
        <v/>
      </c>
      <c r="E289" s="33" t="str">
        <f>IF('IO List'!B289="GVL",CONCATENATE("// ",'IO List'!F289),"")</f>
        <v/>
      </c>
    </row>
    <row r="290" ht="14.25" customHeight="1">
      <c r="B290" s="33" t="str">
        <f>IF('IO List'!B290="GVL",CONCATENATE('IO List'!A290),"")</f>
        <v/>
      </c>
      <c r="C290" s="33" t="str">
        <f>IF('IO List'!B290="GVL",CONCATENATE("AT %",'IO List'!C290),"")</f>
        <v/>
      </c>
      <c r="D290" s="33" t="str">
        <f>IF('IO List'!B290="GVL",CONCATENATE(": ",'IO List'!D290,";"),"")</f>
        <v/>
      </c>
      <c r="E290" s="33" t="str">
        <f>IF('IO List'!B290="GVL",CONCATENATE("// ",'IO List'!F290),"")</f>
        <v/>
      </c>
    </row>
    <row r="291" ht="14.25" customHeight="1">
      <c r="B291" s="33" t="str">
        <f>IF('IO List'!B291="GVL",CONCATENATE('IO List'!A291),"")</f>
        <v/>
      </c>
      <c r="C291" s="33" t="str">
        <f>IF('IO List'!B291="GVL",CONCATENATE("AT %",'IO List'!C291),"")</f>
        <v/>
      </c>
      <c r="D291" s="33" t="str">
        <f>IF('IO List'!B291="GVL",CONCATENATE(": ",'IO List'!D291,";"),"")</f>
        <v/>
      </c>
      <c r="E291" s="33" t="str">
        <f>IF('IO List'!B291="GVL",CONCATENATE("// ",'IO List'!F291),"")</f>
        <v/>
      </c>
    </row>
    <row r="292" ht="14.25" customHeight="1">
      <c r="B292" s="33" t="str">
        <f>IF('IO List'!B292="GVL",CONCATENATE('IO List'!A292),"")</f>
        <v/>
      </c>
      <c r="C292" s="33" t="str">
        <f>IF('IO List'!B292="GVL",CONCATENATE("AT %",'IO List'!C292),"")</f>
        <v/>
      </c>
      <c r="D292" s="33" t="str">
        <f>IF('IO List'!B292="GVL",CONCATENATE(": ",'IO List'!D292,";"),"")</f>
        <v/>
      </c>
      <c r="E292" s="33" t="str">
        <f>IF('IO List'!B292="GVL",CONCATENATE("// ",'IO List'!F292),"")</f>
        <v/>
      </c>
    </row>
    <row r="293" ht="14.25" customHeight="1">
      <c r="B293" s="33" t="str">
        <f>IF('IO List'!B293="GVL",CONCATENATE('IO List'!A293),"")</f>
        <v/>
      </c>
      <c r="C293" s="33" t="str">
        <f>IF('IO List'!B293="GVL",CONCATENATE("AT %",'IO List'!C293),"")</f>
        <v/>
      </c>
      <c r="D293" s="33" t="str">
        <f>IF('IO List'!B293="GVL",CONCATENATE(": ",'IO List'!D293,";"),"")</f>
        <v/>
      </c>
      <c r="E293" s="33" t="str">
        <f>IF('IO List'!B293="GVL",CONCATENATE("// ",'IO List'!F293),"")</f>
        <v/>
      </c>
    </row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86"/>
    <col customWidth="1" min="2" max="2" width="13.0"/>
    <col customWidth="1" min="3" max="3" width="64.29"/>
    <col customWidth="1" min="4" max="4" width="10.14"/>
    <col customWidth="1" min="5" max="5" width="17.14"/>
    <col customWidth="1" min="6" max="6" width="11.29"/>
    <col customWidth="1" min="7" max="7" width="10.71"/>
    <col customWidth="1" min="8" max="9" width="8.71"/>
    <col customWidth="1" min="10" max="10" width="44.14"/>
    <col customWidth="1" min="11" max="26" width="8.71"/>
  </cols>
  <sheetData>
    <row r="1" ht="14.25" customHeight="1">
      <c r="A1" s="65" t="s">
        <v>516</v>
      </c>
    </row>
    <row r="2" ht="14.25" customHeight="1">
      <c r="A2" s="65" t="s">
        <v>517</v>
      </c>
    </row>
    <row r="3" ht="14.25" customHeight="1">
      <c r="A3" s="33" t="s">
        <v>518</v>
      </c>
      <c r="B3" s="33" t="s">
        <v>519</v>
      </c>
      <c r="C3" s="33" t="s">
        <v>520</v>
      </c>
      <c r="D3" s="33" t="s">
        <v>521</v>
      </c>
      <c r="E3" s="33" t="s">
        <v>522</v>
      </c>
      <c r="F3" s="33" t="s">
        <v>523</v>
      </c>
      <c r="G3" s="33" t="s">
        <v>524</v>
      </c>
      <c r="H3" s="33" t="s">
        <v>525</v>
      </c>
      <c r="J3" s="71" t="s">
        <v>526</v>
      </c>
    </row>
    <row r="4" ht="14.25" customHeight="1">
      <c r="A4" s="33" t="str">
        <f>IF(CoDeSysIOs!C4=""," ","CODESYSSPV3/3S/IecVarAccess")</f>
        <v> </v>
      </c>
      <c r="B4" s="33" t="str">
        <f>IF(CoDeSysIOs!C4=""," ","String")</f>
        <v> </v>
      </c>
      <c r="C4" s="33" t="str">
        <f>IF(CoDeSysIOs!C4=""," ",J4&amp;""&amp;E4)</f>
        <v> </v>
      </c>
      <c r="D4" s="33" t="str">
        <f>IF(CoDeSysIOs!B4="","",CoDeSysIOs!H4)</f>
        <v/>
      </c>
      <c r="E4" s="33" t="str">
        <f>IF(CoDeSysIOs!C4=""," ",CoDeSysIOs!B4)</f>
        <v> </v>
      </c>
      <c r="F4" s="33" t="str">
        <f>IF(CoDeSysIOs!D4="","",CoDeSysIOs!G4)</f>
        <v/>
      </c>
      <c r="J4" s="70" t="s">
        <v>527</v>
      </c>
    </row>
    <row r="5" ht="14.25" customHeight="1">
      <c r="A5" s="33" t="str">
        <f>IF(CoDeSysIOs!C5=""," ","CODESYSSPV3/3S/IecVarAccess")</f>
        <v>CODESYSSPV3/3S/IecVarAccess</v>
      </c>
      <c r="B5" s="33" t="str">
        <f>IF(CoDeSysIOs!C5=""," ","String")</f>
        <v>String</v>
      </c>
      <c r="C5" s="33" t="str">
        <f>IF(CoDeSysIOs!C5=""," ",J5&amp;""&amp;E5)</f>
        <v>|var|CODESYS Control Win V3 x64.Application.IOs.SOP700_S1</v>
      </c>
      <c r="D5" s="33" t="str">
        <f>IF(CoDeSysIOs!B5="","",CoDeSysIOs!H5)</f>
        <v>Write</v>
      </c>
      <c r="E5" s="33" t="str">
        <f>IF(CoDeSysIOs!C5=""," ",CoDeSysIOs!B5)</f>
        <v>SOP700_S1</v>
      </c>
      <c r="F5" s="33" t="str">
        <f>IF(CoDeSysIOs!D5="","",CoDeSysIOs!G5)</f>
        <v>Digital</v>
      </c>
      <c r="J5" s="70" t="s">
        <v>527</v>
      </c>
    </row>
    <row r="6" ht="14.25" customHeight="1">
      <c r="A6" s="33" t="str">
        <f>IF(CoDeSysIOs!C6=""," ","CODESYSSPV3/3S/IecVarAccess")</f>
        <v> </v>
      </c>
      <c r="B6" s="33" t="str">
        <f>IF(CoDeSysIOs!C6=""," ","String")</f>
        <v> </v>
      </c>
      <c r="C6" s="33" t="str">
        <f>IF(CoDeSysIOs!C6=""," ",J6&amp;""&amp;E6)</f>
        <v> </v>
      </c>
      <c r="D6" s="33" t="str">
        <f>IF(CoDeSysIOs!B6="","",CoDeSysIOs!H6)</f>
        <v/>
      </c>
      <c r="E6" s="33" t="str">
        <f>IF(CoDeSysIOs!C6=""," ",CoDeSysIOs!B6)</f>
        <v> </v>
      </c>
      <c r="F6" s="33" t="str">
        <f>IF(CoDeSysIOs!D6="","",CoDeSysIOs!G6)</f>
        <v/>
      </c>
      <c r="J6" s="70" t="s">
        <v>527</v>
      </c>
    </row>
    <row r="7" ht="14.25" customHeight="1">
      <c r="A7" s="33" t="str">
        <f>IF(CoDeSysIOs!C7=""," ","CODESYSSPV3/3S/IecVarAccess")</f>
        <v> </v>
      </c>
      <c r="B7" s="33" t="str">
        <f>IF(CoDeSysIOs!C7=""," ","String")</f>
        <v> </v>
      </c>
      <c r="C7" s="33" t="str">
        <f>IF(CoDeSysIOs!C7=""," ",J7&amp;""&amp;E7)</f>
        <v> </v>
      </c>
      <c r="D7" s="33" t="str">
        <f>IF(CoDeSysIOs!B7="","",CoDeSysIOs!H7)</f>
        <v/>
      </c>
      <c r="E7" s="33" t="str">
        <f>IF(CoDeSysIOs!C7=""," ",CoDeSysIOs!B7)</f>
        <v> </v>
      </c>
      <c r="F7" s="33" t="str">
        <f>IF(CoDeSysIOs!D7="","",CoDeSysIOs!G7)</f>
        <v/>
      </c>
      <c r="J7" s="70" t="s">
        <v>527</v>
      </c>
    </row>
    <row r="8" ht="14.25" customHeight="1">
      <c r="A8" s="33" t="str">
        <f>IF(CoDeSysIOs!C8=""," ","CODESYSSPV3/3S/IecVarAccess")</f>
        <v> </v>
      </c>
      <c r="B8" s="33" t="str">
        <f>IF(CoDeSysIOs!C8=""," ","String")</f>
        <v> </v>
      </c>
      <c r="C8" s="33" t="str">
        <f>IF(CoDeSysIOs!C8=""," ",J8&amp;""&amp;E8)</f>
        <v> </v>
      </c>
      <c r="D8" s="33" t="str">
        <f>IF(CoDeSysIOs!B8="","",CoDeSysIOs!H8)</f>
        <v/>
      </c>
      <c r="E8" s="33" t="str">
        <f>IF(CoDeSysIOs!C8=""," ",CoDeSysIOs!B8)</f>
        <v> </v>
      </c>
      <c r="F8" s="33" t="str">
        <f>IF(CoDeSysIOs!D8="","",CoDeSysIOs!G8)</f>
        <v/>
      </c>
      <c r="J8" s="70" t="s">
        <v>527</v>
      </c>
    </row>
    <row r="9" ht="14.25" customHeight="1">
      <c r="A9" s="33" t="str">
        <f>IF(CoDeSysIOs!C9=""," ","CODESYSSPV3/3S/IecVarAccess")</f>
        <v> </v>
      </c>
      <c r="B9" s="33" t="str">
        <f>IF(CoDeSysIOs!C9=""," ","String")</f>
        <v> </v>
      </c>
      <c r="C9" s="33" t="str">
        <f>IF(CoDeSysIOs!C9=""," ",J9&amp;""&amp;E9)</f>
        <v> </v>
      </c>
      <c r="D9" s="33" t="str">
        <f>IF(CoDeSysIOs!B9="","",CoDeSysIOs!H9)</f>
        <v/>
      </c>
      <c r="E9" s="33" t="str">
        <f>IF(CoDeSysIOs!C9=""," ",CoDeSysIOs!B9)</f>
        <v> </v>
      </c>
      <c r="F9" s="33" t="str">
        <f>IF(CoDeSysIOs!D9="","",CoDeSysIOs!G9)</f>
        <v/>
      </c>
      <c r="J9" s="70" t="s">
        <v>527</v>
      </c>
    </row>
    <row r="10" ht="14.25" customHeight="1">
      <c r="A10" s="33" t="str">
        <f>IF(CoDeSysIOs!C10=""," ","CODESYSSPV3/3S/IecVarAccess")</f>
        <v> </v>
      </c>
      <c r="B10" s="33" t="str">
        <f>IF(CoDeSysIOs!C10=""," ","String")</f>
        <v> </v>
      </c>
      <c r="C10" s="33" t="str">
        <f>IF(CoDeSysIOs!C10=""," ",J10&amp;""&amp;E10)</f>
        <v> </v>
      </c>
      <c r="D10" s="33" t="str">
        <f>IF(CoDeSysIOs!B10="","",CoDeSysIOs!H10)</f>
        <v/>
      </c>
      <c r="E10" s="33" t="str">
        <f>IF(CoDeSysIOs!C10=""," ",CoDeSysIOs!B10)</f>
        <v> </v>
      </c>
      <c r="F10" s="33" t="str">
        <f>IF(CoDeSysIOs!D10="","",CoDeSysIOs!G10)</f>
        <v/>
      </c>
      <c r="J10" s="70" t="s">
        <v>527</v>
      </c>
    </row>
    <row r="11" ht="14.25" customHeight="1">
      <c r="A11" s="33" t="str">
        <f>IF(CoDeSysIOs!C11=""," ","CODESYSSPV3/3S/IecVarAccess")</f>
        <v> </v>
      </c>
      <c r="B11" s="33" t="str">
        <f>IF(CoDeSysIOs!C11=""," ","String")</f>
        <v> </v>
      </c>
      <c r="C11" s="33" t="str">
        <f>IF(CoDeSysIOs!C11=""," ",J11&amp;""&amp;E11)</f>
        <v> </v>
      </c>
      <c r="D11" s="33" t="str">
        <f>IF(CoDeSysIOs!B11="","",CoDeSysIOs!H11)</f>
        <v/>
      </c>
      <c r="E11" s="33" t="str">
        <f>IF(CoDeSysIOs!C11=""," ",CoDeSysIOs!B11)</f>
        <v> </v>
      </c>
      <c r="F11" s="33" t="str">
        <f>IF(CoDeSysIOs!D11="","",CoDeSysIOs!G11)</f>
        <v/>
      </c>
      <c r="J11" s="70" t="s">
        <v>527</v>
      </c>
    </row>
    <row r="12" ht="14.25" customHeight="1">
      <c r="A12" s="33" t="str">
        <f>IF(CoDeSysIOs!C12=""," ","CODESYSSPV3/3S/IecVarAccess")</f>
        <v> </v>
      </c>
      <c r="B12" s="33" t="str">
        <f>IF(CoDeSysIOs!C12=""," ","String")</f>
        <v> </v>
      </c>
      <c r="C12" s="33" t="str">
        <f>IF(CoDeSysIOs!C12=""," ",J12&amp;""&amp;E12)</f>
        <v> </v>
      </c>
      <c r="D12" s="33" t="str">
        <f>IF(CoDeSysIOs!B12="","",CoDeSysIOs!H12)</f>
        <v/>
      </c>
      <c r="E12" s="33" t="str">
        <f>IF(CoDeSysIOs!C12=""," ",CoDeSysIOs!B12)</f>
        <v> </v>
      </c>
      <c r="F12" s="33" t="str">
        <f>IF(CoDeSysIOs!D12="","",CoDeSysIOs!G12)</f>
        <v/>
      </c>
      <c r="J12" s="70" t="s">
        <v>527</v>
      </c>
    </row>
    <row r="13" ht="14.25" customHeight="1">
      <c r="A13" s="33" t="str">
        <f>IF(CoDeSysIOs!C13=""," ","CODESYSSPV3/3S/IecVarAccess")</f>
        <v> </v>
      </c>
      <c r="B13" s="33" t="str">
        <f>IF(CoDeSysIOs!C13=""," ","String")</f>
        <v> </v>
      </c>
      <c r="C13" s="33" t="str">
        <f>IF(CoDeSysIOs!C13=""," ",J13&amp;""&amp;E13)</f>
        <v> </v>
      </c>
      <c r="D13" s="33" t="str">
        <f>IF(CoDeSysIOs!B13="","",CoDeSysIOs!H13)</f>
        <v/>
      </c>
      <c r="E13" s="33" t="str">
        <f>IF(CoDeSysIOs!C13=""," ",CoDeSysIOs!B13)</f>
        <v> </v>
      </c>
      <c r="F13" s="33" t="str">
        <f>IF(CoDeSysIOs!D13="","",CoDeSysIOs!G13)</f>
        <v/>
      </c>
      <c r="J13" s="70" t="s">
        <v>527</v>
      </c>
    </row>
    <row r="14" ht="14.25" customHeight="1">
      <c r="A14" s="33" t="str">
        <f>IF(CoDeSysIOs!C14=""," ","CODESYSSPV3/3S/IecVarAccess")</f>
        <v> </v>
      </c>
      <c r="B14" s="33" t="str">
        <f>IF(CoDeSysIOs!C14=""," ","String")</f>
        <v> </v>
      </c>
      <c r="C14" s="33" t="str">
        <f>IF(CoDeSysIOs!C14=""," ",J14&amp;""&amp;E14)</f>
        <v> </v>
      </c>
      <c r="D14" s="33" t="str">
        <f>IF(CoDeSysIOs!B14="","",CoDeSysIOs!H14)</f>
        <v/>
      </c>
      <c r="E14" s="33" t="str">
        <f>IF(CoDeSysIOs!C14=""," ",CoDeSysIOs!B14)</f>
        <v> </v>
      </c>
      <c r="F14" s="33" t="str">
        <f>IF(CoDeSysIOs!D14="","",CoDeSysIOs!G14)</f>
        <v/>
      </c>
      <c r="J14" s="70" t="s">
        <v>527</v>
      </c>
    </row>
    <row r="15" ht="14.25" customHeight="1">
      <c r="A15" s="33" t="str">
        <f>IF(CoDeSysIOs!C15=""," ","CODESYSSPV3/3S/IecVarAccess")</f>
        <v>CODESYSSPV3/3S/IecVarAccess</v>
      </c>
      <c r="B15" s="33" t="str">
        <f>IF(CoDeSysIOs!C15=""," ","String")</f>
        <v>String</v>
      </c>
      <c r="C15" s="33" t="str">
        <f>IF(CoDeSysIOs!C15=""," ",J15&amp;""&amp;E15)</f>
        <v>|var|CODESYS Control Win V3 x64.Application.IOs.SOP700_NS1</v>
      </c>
      <c r="D15" s="33" t="str">
        <f>IF(CoDeSysIOs!B15="","",CoDeSysIOs!H15)</f>
        <v>Write</v>
      </c>
      <c r="E15" s="33" t="str">
        <f>IF(CoDeSysIOs!C15=""," ",CoDeSysIOs!B15)</f>
        <v>SOP700_NS1</v>
      </c>
      <c r="F15" s="33" t="str">
        <f>IF(CoDeSysIOs!D15="","",CoDeSysIOs!G15)</f>
        <v>Digital</v>
      </c>
      <c r="J15" s="70" t="s">
        <v>527</v>
      </c>
    </row>
    <row r="16" ht="14.25" customHeight="1">
      <c r="A16" s="33" t="str">
        <f>IF(CoDeSysIOs!C16=""," ","CODESYSSPV3/3S/IecVarAccess")</f>
        <v> </v>
      </c>
      <c r="B16" s="33" t="str">
        <f>IF(CoDeSysIOs!C16=""," ","String")</f>
        <v> </v>
      </c>
      <c r="C16" s="33" t="str">
        <f>IF(CoDeSysIOs!C16=""," ",J16&amp;""&amp;E16)</f>
        <v> </v>
      </c>
      <c r="D16" s="33" t="str">
        <f>IF(CoDeSysIOs!B16="","",CoDeSysIOs!H16)</f>
        <v/>
      </c>
      <c r="E16" s="33" t="str">
        <f>IF(CoDeSysIOs!C16=""," ",CoDeSysIOs!B16)</f>
        <v> </v>
      </c>
      <c r="F16" s="33" t="str">
        <f>IF(CoDeSysIOs!D16="","",CoDeSysIOs!G16)</f>
        <v/>
      </c>
      <c r="J16" s="70" t="s">
        <v>527</v>
      </c>
    </row>
    <row r="17" ht="14.25" customHeight="1">
      <c r="A17" s="33" t="str">
        <f>IF(CoDeSysIOs!C17=""," ","CODESYSSPV3/3S/IecVarAccess")</f>
        <v>CODESYSSPV3/3S/IecVarAccess</v>
      </c>
      <c r="B17" s="33" t="str">
        <f>IF(CoDeSysIOs!C17=""," ","String")</f>
        <v>String</v>
      </c>
      <c r="C17" s="33" t="str">
        <f>IF(CoDeSysIOs!C17=""," ",J17&amp;""&amp;E17)</f>
        <v>|var|CODESYS Control Win V3 x64.Application.IOs.SOP720_HMI_NS1</v>
      </c>
      <c r="D17" s="33" t="str">
        <f>IF(CoDeSysIOs!B17="","",CoDeSysIOs!H17)</f>
        <v>Write</v>
      </c>
      <c r="E17" s="33" t="str">
        <f>IF(CoDeSysIOs!C17=""," ",CoDeSysIOs!B17)</f>
        <v>SOP720_HMI_NS1</v>
      </c>
      <c r="F17" s="33" t="str">
        <f>IF(CoDeSysIOs!D17="","",CoDeSysIOs!G17)</f>
        <v>Digital</v>
      </c>
      <c r="J17" s="70" t="s">
        <v>527</v>
      </c>
    </row>
    <row r="18" ht="14.25" customHeight="1">
      <c r="A18" s="33" t="str">
        <f>IF(CoDeSysIOs!C18=""," ","CODESYSSPV3/3S/IecVarAccess")</f>
        <v>CODESYSSPV3/3S/IecVarAccess</v>
      </c>
      <c r="B18" s="33" t="str">
        <f>IF(CoDeSysIOs!C18=""," ","String")</f>
        <v>String</v>
      </c>
      <c r="C18" s="33" t="str">
        <f>IF(CoDeSysIOs!C18=""," ",J18&amp;""&amp;E18)</f>
        <v>|var|CODESYS Control Win V3 x64.Application.IOs.SOP723_HMI_NS1</v>
      </c>
      <c r="D18" s="33" t="str">
        <f>IF(CoDeSysIOs!B18="","",CoDeSysIOs!H18)</f>
        <v>Write</v>
      </c>
      <c r="E18" s="33" t="str">
        <f>IF(CoDeSysIOs!C18=""," ",CoDeSysIOs!B18)</f>
        <v>SOP723_HMI_NS1</v>
      </c>
      <c r="F18" s="33" t="str">
        <f>IF(CoDeSysIOs!D18="","",CoDeSysIOs!G18)</f>
        <v>Digital</v>
      </c>
      <c r="J18" s="70" t="s">
        <v>527</v>
      </c>
    </row>
    <row r="19" ht="14.25" customHeight="1">
      <c r="A19" s="33" t="str">
        <f>IF(CoDeSysIOs!C19=""," ","CODESYSSPV3/3S/IecVarAccess")</f>
        <v> </v>
      </c>
      <c r="B19" s="33" t="str">
        <f>IF(CoDeSysIOs!C19=""," ","String")</f>
        <v> </v>
      </c>
      <c r="C19" s="33" t="str">
        <f>IF(CoDeSysIOs!C19=""," ",J19&amp;""&amp;E19)</f>
        <v> </v>
      </c>
      <c r="D19" s="33" t="str">
        <f>IF(CoDeSysIOs!B19="","",CoDeSysIOs!H19)</f>
        <v/>
      </c>
      <c r="E19" s="33" t="str">
        <f>IF(CoDeSysIOs!C19=""," ",CoDeSysIOs!B19)</f>
        <v> </v>
      </c>
      <c r="F19" s="33" t="str">
        <f>IF(CoDeSysIOs!D19="","",CoDeSysIOs!G19)</f>
        <v/>
      </c>
      <c r="J19" s="70" t="s">
        <v>527</v>
      </c>
    </row>
    <row r="20" ht="14.25" customHeight="1">
      <c r="A20" s="33" t="str">
        <f>IF(CoDeSysIOs!C20=""," ","CODESYSSPV3/3S/IecVarAccess")</f>
        <v> </v>
      </c>
      <c r="B20" s="33" t="str">
        <f>IF(CoDeSysIOs!C20=""," ","String")</f>
        <v> </v>
      </c>
      <c r="C20" s="33" t="str">
        <f>IF(CoDeSysIOs!C20=""," ",J20&amp;""&amp;E20)</f>
        <v> </v>
      </c>
      <c r="D20" s="33" t="str">
        <f>IF(CoDeSysIOs!B20="","",CoDeSysIOs!H20)</f>
        <v/>
      </c>
      <c r="E20" s="33" t="str">
        <f>IF(CoDeSysIOs!C20=""," ",CoDeSysIOs!B20)</f>
        <v> </v>
      </c>
      <c r="F20" s="33" t="str">
        <f>IF(CoDeSysIOs!D20="","",CoDeSysIOs!G20)</f>
        <v/>
      </c>
      <c r="J20" s="70" t="s">
        <v>527</v>
      </c>
    </row>
    <row r="21" ht="14.25" customHeight="1">
      <c r="A21" s="33" t="str">
        <f>IF(CoDeSysIOs!C21=""," ","CODESYSSPV3/3S/IecVarAccess")</f>
        <v> </v>
      </c>
      <c r="B21" s="33" t="str">
        <f>IF(CoDeSysIOs!C21=""," ","String")</f>
        <v> </v>
      </c>
      <c r="C21" s="33" t="str">
        <f>IF(CoDeSysIOs!C21=""," ",J21&amp;""&amp;E21)</f>
        <v> </v>
      </c>
      <c r="D21" s="33" t="str">
        <f>IF(CoDeSysIOs!B21="","",CoDeSysIOs!H21)</f>
        <v/>
      </c>
      <c r="E21" s="33" t="str">
        <f>IF(CoDeSysIOs!C21=""," ",CoDeSysIOs!B21)</f>
        <v> </v>
      </c>
      <c r="F21" s="33" t="str">
        <f>IF(CoDeSysIOs!D21="","",CoDeSysIOs!G21)</f>
        <v/>
      </c>
      <c r="J21" s="70" t="s">
        <v>527</v>
      </c>
    </row>
    <row r="22" ht="14.25" customHeight="1">
      <c r="A22" s="33" t="str">
        <f>IF(CoDeSysIOs!C22=""," ","CODESYSSPV3/3S/IecVarAccess")</f>
        <v>CODESYSSPV3/3S/IecVarAccess</v>
      </c>
      <c r="B22" s="33" t="str">
        <f>IF(CoDeSysIOs!C22=""," ","String")</f>
        <v>String</v>
      </c>
      <c r="C22" s="33" t="str">
        <f>IF(CoDeSysIOs!C22=""," ",J22&amp;""&amp;E22)</f>
        <v>|var|CODESYS Control Win V3 x64.Application.IOs.SOP750_FQ1</v>
      </c>
      <c r="D22" s="33" t="str">
        <f>IF(CoDeSysIOs!B22="","",CoDeSysIOs!H22)</f>
        <v>Write</v>
      </c>
      <c r="E22" s="33" t="str">
        <f>IF(CoDeSysIOs!C22=""," ",CoDeSysIOs!B22)</f>
        <v>SOP750_FQ1</v>
      </c>
      <c r="F22" s="33" t="str">
        <f>IF(CoDeSysIOs!D22="","",CoDeSysIOs!G22)</f>
        <v>Digital</v>
      </c>
      <c r="J22" s="70" t="s">
        <v>527</v>
      </c>
    </row>
    <row r="23" ht="14.25" customHeight="1">
      <c r="A23" s="33" t="str">
        <f>IF(CoDeSysIOs!C23=""," ","CODESYSSPV3/3S/IecVarAccess")</f>
        <v>CODESYSSPV3/3S/IecVarAccess</v>
      </c>
      <c r="B23" s="33" t="str">
        <f>IF(CoDeSysIOs!C23=""," ","String")</f>
        <v>String</v>
      </c>
      <c r="C23" s="33" t="str">
        <f>IF(CoDeSysIOs!C23=""," ",J23&amp;""&amp;E23)</f>
        <v>|var|CODESYS Control Win V3 x64.Application.IOs.SOP751_FQ1</v>
      </c>
      <c r="D23" s="33" t="str">
        <f>IF(CoDeSysIOs!B23="","",CoDeSysIOs!H23)</f>
        <v>Write</v>
      </c>
      <c r="E23" s="33" t="str">
        <f>IF(CoDeSysIOs!C23=""," ",CoDeSysIOs!B23)</f>
        <v>SOP751_FQ1</v>
      </c>
      <c r="F23" s="33" t="str">
        <f>IF(CoDeSysIOs!D23="","",CoDeSysIOs!G23)</f>
        <v>Digital</v>
      </c>
      <c r="J23" s="70" t="s">
        <v>527</v>
      </c>
    </row>
    <row r="24" ht="14.25" customHeight="1">
      <c r="A24" s="33" t="str">
        <f>IF(CoDeSysIOs!C24=""," ","CODESYSSPV3/3S/IecVarAccess")</f>
        <v>CODESYSSPV3/3S/IecVarAccess</v>
      </c>
      <c r="B24" s="33" t="str">
        <f>IF(CoDeSysIOs!C24=""," ","String")</f>
        <v>String</v>
      </c>
      <c r="C24" s="33" t="str">
        <f>IF(CoDeSysIOs!C24=""," ",J24&amp;""&amp;E24)</f>
        <v>|var|CODESYS Control Win V3 x64.Application.IOs.SOP751_F10</v>
      </c>
      <c r="D24" s="33" t="str">
        <f>IF(CoDeSysIOs!B24="","",CoDeSysIOs!H24)</f>
        <v>Write</v>
      </c>
      <c r="E24" s="33" t="str">
        <f>IF(CoDeSysIOs!C24=""," ",CoDeSysIOs!B24)</f>
        <v>SOP751_F10</v>
      </c>
      <c r="F24" s="33" t="str">
        <f>IF(CoDeSysIOs!D24="","",CoDeSysIOs!G24)</f>
        <v>Digital</v>
      </c>
      <c r="J24" s="70" t="s">
        <v>527</v>
      </c>
    </row>
    <row r="25" ht="14.25" customHeight="1">
      <c r="A25" s="33" t="str">
        <f>IF(CoDeSysIOs!C25=""," ","CODESYSSPV3/3S/IecVarAccess")</f>
        <v>CODESYSSPV3/3S/IecVarAccess</v>
      </c>
      <c r="B25" s="33" t="str">
        <f>IF(CoDeSysIOs!C25=""," ","String")</f>
        <v>String</v>
      </c>
      <c r="C25" s="33" t="str">
        <f>IF(CoDeSysIOs!C25=""," ",J25&amp;""&amp;E25)</f>
        <v>|var|CODESYS Control Win V3 x64.Application.IOs.SOP751_F11</v>
      </c>
      <c r="D25" s="33" t="str">
        <f>IF(CoDeSysIOs!B25="","",CoDeSysIOs!H25)</f>
        <v>Write</v>
      </c>
      <c r="E25" s="33" t="str">
        <f>IF(CoDeSysIOs!C25=""," ",CoDeSysIOs!B25)</f>
        <v>SOP751_F11</v>
      </c>
      <c r="F25" s="33" t="str">
        <f>IF(CoDeSysIOs!D25="","",CoDeSysIOs!G25)</f>
        <v>Digital</v>
      </c>
      <c r="J25" s="70" t="s">
        <v>527</v>
      </c>
    </row>
    <row r="26" ht="14.25" customHeight="1">
      <c r="A26" s="33" t="str">
        <f>IF(CoDeSysIOs!C26=""," ","CODESYSSPV3/3S/IecVarAccess")</f>
        <v>CODESYSSPV3/3S/IecVarAccess</v>
      </c>
      <c r="B26" s="33" t="str">
        <f>IF(CoDeSysIOs!C26=""," ","String")</f>
        <v>String</v>
      </c>
      <c r="C26" s="33" t="str">
        <f>IF(CoDeSysIOs!C26=""," ",J26&amp;""&amp;E26)</f>
        <v>|var|CODESYS Control Win V3 x64.Application.IOs.SOP751_F12</v>
      </c>
      <c r="D26" s="33" t="str">
        <f>IF(CoDeSysIOs!B26="","",CoDeSysIOs!H26)</f>
        <v>Write</v>
      </c>
      <c r="E26" s="33" t="str">
        <f>IF(CoDeSysIOs!C26=""," ",CoDeSysIOs!B26)</f>
        <v>SOP751_F12</v>
      </c>
      <c r="F26" s="33" t="str">
        <f>IF(CoDeSysIOs!D26="","",CoDeSysIOs!G26)</f>
        <v>Digital</v>
      </c>
      <c r="J26" s="70" t="s">
        <v>527</v>
      </c>
    </row>
    <row r="27" ht="14.25" customHeight="1">
      <c r="A27" s="33" t="str">
        <f>IF(CoDeSysIOs!C27=""," ","CODESYSSPV3/3S/IecVarAccess")</f>
        <v>CODESYSSPV3/3S/IecVarAccess</v>
      </c>
      <c r="B27" s="33" t="str">
        <f>IF(CoDeSysIOs!C27=""," ","String")</f>
        <v>String</v>
      </c>
      <c r="C27" s="33" t="str">
        <f>IF(CoDeSysIOs!C27=""," ",J27&amp;""&amp;E27)</f>
        <v>|var|CODESYS Control Win V3 x64.Application.IOs.SOP751_F13</v>
      </c>
      <c r="D27" s="33" t="str">
        <f>IF(CoDeSysIOs!B27="","",CoDeSysIOs!H27)</f>
        <v>Write</v>
      </c>
      <c r="E27" s="33" t="str">
        <f>IF(CoDeSysIOs!C27=""," ",CoDeSysIOs!B27)</f>
        <v>SOP751_F13</v>
      </c>
      <c r="F27" s="33" t="str">
        <f>IF(CoDeSysIOs!D27="","",CoDeSysIOs!G27)</f>
        <v>Digital</v>
      </c>
      <c r="J27" s="70" t="s">
        <v>527</v>
      </c>
    </row>
    <row r="28" ht="14.25" customHeight="1">
      <c r="A28" s="33" t="str">
        <f>IF(CoDeSysIOs!C28=""," ","CODESYSSPV3/3S/IecVarAccess")</f>
        <v>CODESYSSPV3/3S/IecVarAccess</v>
      </c>
      <c r="B28" s="33" t="str">
        <f>IF(CoDeSysIOs!C28=""," ","String")</f>
        <v>String</v>
      </c>
      <c r="C28" s="33" t="str">
        <f>IF(CoDeSysIOs!C28=""," ",J28&amp;""&amp;E28)</f>
        <v>|var|CODESYS Control Win V3 x64.Application.IOs.SOP750_K1</v>
      </c>
      <c r="D28" s="33" t="str">
        <f>IF(CoDeSysIOs!B28="","",CoDeSysIOs!H28)</f>
        <v>Write</v>
      </c>
      <c r="E28" s="33" t="str">
        <f>IF(CoDeSysIOs!C28=""," ",CoDeSysIOs!B28)</f>
        <v>SOP750_K1</v>
      </c>
      <c r="F28" s="33" t="str">
        <f>IF(CoDeSysIOs!D28="","",CoDeSysIOs!G28)</f>
        <v>Digital</v>
      </c>
      <c r="J28" s="70" t="s">
        <v>527</v>
      </c>
    </row>
    <row r="29" ht="14.25" customHeight="1">
      <c r="A29" s="33" t="str">
        <f>IF(CoDeSysIOs!C29=""," ","CODESYSSPV3/3S/IecVarAccess")</f>
        <v>CODESYSSPV3/3S/IecVarAccess</v>
      </c>
      <c r="B29" s="33" t="str">
        <f>IF(CoDeSysIOs!C29=""," ","String")</f>
        <v>String</v>
      </c>
      <c r="C29" s="33" t="str">
        <f>IF(CoDeSysIOs!C29=""," ",J29&amp;""&amp;E29)</f>
        <v>|var|CODESYS Control Win V3 x64.Application.IOs.SOP750_B1</v>
      </c>
      <c r="D29" s="33" t="str">
        <f>IF(CoDeSysIOs!B29="","",CoDeSysIOs!H29)</f>
        <v>Write</v>
      </c>
      <c r="E29" s="33" t="str">
        <f>IF(CoDeSysIOs!C29=""," ",CoDeSysIOs!B29)</f>
        <v>SOP750_B1</v>
      </c>
      <c r="F29" s="33" t="str">
        <f>IF(CoDeSysIOs!D29="","",CoDeSysIOs!G29)</f>
        <v>Digital</v>
      </c>
      <c r="J29" s="70" t="s">
        <v>527</v>
      </c>
    </row>
    <row r="30" ht="14.25" customHeight="1">
      <c r="A30" s="33" t="str">
        <f>IF(CoDeSysIOs!C30=""," ","CODESYSSPV3/3S/IecVarAccess")</f>
        <v> </v>
      </c>
      <c r="B30" s="33" t="str">
        <f>IF(CoDeSysIOs!C30=""," ","String")</f>
        <v> </v>
      </c>
      <c r="C30" s="33" t="str">
        <f>IF(CoDeSysIOs!C30=""," ",J30&amp;""&amp;E30)</f>
        <v> </v>
      </c>
      <c r="D30" s="33" t="str">
        <f>IF(CoDeSysIOs!B30="","",CoDeSysIOs!H30)</f>
        <v/>
      </c>
      <c r="E30" s="33" t="str">
        <f>IF(CoDeSysIOs!C30=""," ",CoDeSysIOs!B30)</f>
        <v> </v>
      </c>
      <c r="F30" s="33" t="str">
        <f>IF(CoDeSysIOs!D30="","",CoDeSysIOs!G30)</f>
        <v/>
      </c>
      <c r="J30" s="70" t="s">
        <v>527</v>
      </c>
    </row>
    <row r="31" ht="14.25" customHeight="1">
      <c r="A31" s="33" t="str">
        <f>IF(CoDeSysIOs!C31=""," ","CODESYSSPV3/3S/IecVarAccess")</f>
        <v>CODESYSSPV3/3S/IecVarAccess</v>
      </c>
      <c r="B31" s="33" t="str">
        <f>IF(CoDeSysIOs!C31=""," ","String")</f>
        <v>String</v>
      </c>
      <c r="C31" s="33" t="str">
        <f>IF(CoDeSysIOs!C31=""," ",J31&amp;""&amp;E31)</f>
        <v>|var|CODESYS Control Win V3 x64.Application.IOs.SOP750_K8</v>
      </c>
      <c r="D31" s="33" t="str">
        <f>IF(CoDeSysIOs!B31="","",CoDeSysIOs!H31)</f>
        <v>Write</v>
      </c>
      <c r="E31" s="33" t="str">
        <f>IF(CoDeSysIOs!C31=""," ",CoDeSysIOs!B31)</f>
        <v>SOP750_K8</v>
      </c>
      <c r="F31" s="33" t="str">
        <f>IF(CoDeSysIOs!D31="","",CoDeSysIOs!G31)</f>
        <v>Digital</v>
      </c>
      <c r="J31" s="70" t="s">
        <v>527</v>
      </c>
    </row>
    <row r="32" ht="14.25" customHeight="1">
      <c r="A32" s="33" t="str">
        <f>IF(CoDeSysIOs!C32=""," ","CODESYSSPV3/3S/IecVarAccess")</f>
        <v>CODESYSSPV3/3S/IecVarAccess</v>
      </c>
      <c r="B32" s="33" t="str">
        <f>IF(CoDeSysIOs!C32=""," ","String")</f>
        <v>String</v>
      </c>
      <c r="C32" s="33" t="str">
        <f>IF(CoDeSysIOs!C32=""," ",J32&amp;""&amp;E32)</f>
        <v>|var|CODESYS Control Win V3 x64.Application.IOs.SOP750_B2</v>
      </c>
      <c r="D32" s="33" t="str">
        <f>IF(CoDeSysIOs!B32="","",CoDeSysIOs!H32)</f>
        <v>Write</v>
      </c>
      <c r="E32" s="33" t="str">
        <f>IF(CoDeSysIOs!C32=""," ",CoDeSysIOs!B32)</f>
        <v>SOP750_B2</v>
      </c>
      <c r="F32" s="33" t="str">
        <f>IF(CoDeSysIOs!D32="","",CoDeSysIOs!G32)</f>
        <v>Digital</v>
      </c>
      <c r="J32" s="70" t="s">
        <v>527</v>
      </c>
    </row>
    <row r="33" ht="14.25" customHeight="1">
      <c r="A33" s="33" t="str">
        <f>IF(CoDeSysIOs!C33=""," ","CODESYSSPV3/3S/IecVarAccess")</f>
        <v>CODESYSSPV3/3S/IecVarAccess</v>
      </c>
      <c r="B33" s="33" t="str">
        <f>IF(CoDeSysIOs!C33=""," ","String")</f>
        <v>String</v>
      </c>
      <c r="C33" s="33" t="str">
        <f>IF(CoDeSysIOs!C33=""," ",J33&amp;""&amp;E33)</f>
        <v>|var|CODESYS Control Win V3 x64.Application.IOs.SOP750_B3</v>
      </c>
      <c r="D33" s="33" t="str">
        <f>IF(CoDeSysIOs!B33="","",CoDeSysIOs!H33)</f>
        <v>Write</v>
      </c>
      <c r="E33" s="33" t="str">
        <f>IF(CoDeSysIOs!C33=""," ",CoDeSysIOs!B33)</f>
        <v>SOP750_B3</v>
      </c>
      <c r="F33" s="33" t="str">
        <f>IF(CoDeSysIOs!D33="","",CoDeSysIOs!G33)</f>
        <v>Digital</v>
      </c>
      <c r="J33" s="70" t="s">
        <v>527</v>
      </c>
    </row>
    <row r="34" ht="14.25" customHeight="1">
      <c r="A34" s="33" t="str">
        <f>IF(CoDeSysIOs!C34=""," ","CODESYSSPV3/3S/IecVarAccess")</f>
        <v>CODESYSSPV3/3S/IecVarAccess</v>
      </c>
      <c r="B34" s="33" t="str">
        <f>IF(CoDeSysIOs!C34=""," ","String")</f>
        <v>String</v>
      </c>
      <c r="C34" s="33" t="str">
        <f>IF(CoDeSysIOs!C34=""," ",J34&amp;""&amp;E34)</f>
        <v>|var|CODESYS Control Win V3 x64.Application.IOs.SOP740_RobotReady</v>
      </c>
      <c r="D34" s="33" t="str">
        <f>IF(CoDeSysIOs!B34="","",CoDeSysIOs!H34)</f>
        <v>Write</v>
      </c>
      <c r="E34" s="33" t="str">
        <f>IF(CoDeSysIOs!C34=""," ",CoDeSysIOs!B34)</f>
        <v>SOP740_RobotReady</v>
      </c>
      <c r="F34" s="33" t="str">
        <f>IF(CoDeSysIOs!D34="","",CoDeSysIOs!G34)</f>
        <v>Digital</v>
      </c>
      <c r="J34" s="70" t="s">
        <v>527</v>
      </c>
    </row>
    <row r="35" ht="14.25" customHeight="1">
      <c r="A35" s="33" t="str">
        <f>IF(CoDeSysIOs!C35=""," ","CODESYSSPV3/3S/IecVarAccess")</f>
        <v>CODESYSSPV3/3S/IecVarAccess</v>
      </c>
      <c r="B35" s="33" t="str">
        <f>IF(CoDeSysIOs!C35=""," ","String")</f>
        <v>String</v>
      </c>
      <c r="C35" s="33" t="str">
        <f>IF(CoDeSysIOs!C35=""," ",J35&amp;""&amp;E35)</f>
        <v>|var|CODESYS Control Win V3 x64.Application.IOs.SOP740_ProductPlaced</v>
      </c>
      <c r="D35" s="33" t="str">
        <f>IF(CoDeSysIOs!B35="","",CoDeSysIOs!H35)</f>
        <v>Write</v>
      </c>
      <c r="E35" s="33" t="str">
        <f>IF(CoDeSysIOs!C35=""," ",CoDeSysIOs!B35)</f>
        <v>SOP740_ProductPlaced</v>
      </c>
      <c r="F35" s="33" t="str">
        <f>IF(CoDeSysIOs!D35="","",CoDeSysIOs!G35)</f>
        <v>Digital</v>
      </c>
      <c r="J35" s="70" t="s">
        <v>527</v>
      </c>
    </row>
    <row r="36" ht="14.25" customHeight="1">
      <c r="A36" s="33" t="str">
        <f>IF(CoDeSysIOs!C36=""," ","CODESYSSPV3/3S/IecVarAccess")</f>
        <v> </v>
      </c>
      <c r="B36" s="33" t="str">
        <f>IF(CoDeSysIOs!C36=""," ","String")</f>
        <v> </v>
      </c>
      <c r="C36" s="33" t="str">
        <f>IF(CoDeSysIOs!C36=""," ",J36&amp;""&amp;E36)</f>
        <v> </v>
      </c>
      <c r="D36" s="33" t="str">
        <f>IF(CoDeSysIOs!B36="","",CoDeSysIOs!H36)</f>
        <v/>
      </c>
      <c r="E36" s="33" t="str">
        <f>IF(CoDeSysIOs!C36=""," ",CoDeSysIOs!B36)</f>
        <v> </v>
      </c>
      <c r="F36" s="33" t="str">
        <f>IF(CoDeSysIOs!D36="","",CoDeSysIOs!G36)</f>
        <v/>
      </c>
      <c r="J36" s="70" t="s">
        <v>527</v>
      </c>
    </row>
    <row r="37" ht="14.25" customHeight="1">
      <c r="A37" s="33" t="str">
        <f>IF(CoDeSysIOs!C37=""," ","CODESYSSPV3/3S/IecVarAccess")</f>
        <v> </v>
      </c>
      <c r="B37" s="33" t="str">
        <f>IF(CoDeSysIOs!C37=""," ","String")</f>
        <v> </v>
      </c>
      <c r="C37" s="33" t="str">
        <f>IF(CoDeSysIOs!C37=""," ",J37&amp;""&amp;E37)</f>
        <v> </v>
      </c>
      <c r="D37" s="33" t="str">
        <f>IF(CoDeSysIOs!B37="","",CoDeSysIOs!H37)</f>
        <v/>
      </c>
      <c r="E37" s="33" t="str">
        <f>IF(CoDeSysIOs!C37=""," ",CoDeSysIOs!B37)</f>
        <v> </v>
      </c>
      <c r="F37" s="33" t="str">
        <f>IF(CoDeSysIOs!D37="","",CoDeSysIOs!G37)</f>
        <v/>
      </c>
      <c r="J37" s="70" t="s">
        <v>527</v>
      </c>
    </row>
    <row r="38" ht="14.25" customHeight="1">
      <c r="A38" s="33" t="str">
        <f>IF(CoDeSysIOs!C38=""," ","CODESYSSPV3/3S/IecVarAccess")</f>
        <v> </v>
      </c>
      <c r="B38" s="33" t="str">
        <f>IF(CoDeSysIOs!C38=""," ","String")</f>
        <v> </v>
      </c>
      <c r="C38" s="33" t="str">
        <f>IF(CoDeSysIOs!C38=""," ",J38&amp;""&amp;E38)</f>
        <v> </v>
      </c>
      <c r="D38" s="33" t="str">
        <f>IF(CoDeSysIOs!B38="","",CoDeSysIOs!H38)</f>
        <v/>
      </c>
      <c r="E38" s="33" t="str">
        <f>IF(CoDeSysIOs!C38=""," ",CoDeSysIOs!B38)</f>
        <v> </v>
      </c>
      <c r="F38" s="33" t="str">
        <f>IF(CoDeSysIOs!D38="","",CoDeSysIOs!G38)</f>
        <v/>
      </c>
      <c r="J38" s="70" t="s">
        <v>527</v>
      </c>
    </row>
    <row r="39" ht="14.25" customHeight="1">
      <c r="A39" s="33" t="str">
        <f>IF(CoDeSysIOs!C39=""," ","CODESYSSPV3/3S/IecVarAccess")</f>
        <v>CODESYSSPV3/3S/IecVarAccess</v>
      </c>
      <c r="B39" s="33" t="str">
        <f>IF(CoDeSysIOs!C39=""," ","String")</f>
        <v>String</v>
      </c>
      <c r="C39" s="33" t="str">
        <f>IF(CoDeSysIOs!C39=""," ",J39&amp;""&amp;E39)</f>
        <v>|var|CODESYS Control Win V3 x64.Application.IOs.SOP710_FQ1</v>
      </c>
      <c r="D39" s="33" t="str">
        <f>IF(CoDeSysIOs!B39="","",CoDeSysIOs!H39)</f>
        <v>Write</v>
      </c>
      <c r="E39" s="33" t="str">
        <f>IF(CoDeSysIOs!C39=""," ",CoDeSysIOs!B39)</f>
        <v>SOP710_FQ1</v>
      </c>
      <c r="F39" s="33" t="str">
        <f>IF(CoDeSysIOs!D39="","",CoDeSysIOs!G39)</f>
        <v>Digital</v>
      </c>
      <c r="J39" s="70" t="s">
        <v>527</v>
      </c>
    </row>
    <row r="40" ht="14.25" customHeight="1">
      <c r="A40" s="33" t="str">
        <f>IF(CoDeSysIOs!C40=""," ","CODESYSSPV3/3S/IecVarAccess")</f>
        <v>CODESYSSPV3/3S/IecVarAccess</v>
      </c>
      <c r="B40" s="33" t="str">
        <f>IF(CoDeSysIOs!C40=""," ","String")</f>
        <v>String</v>
      </c>
      <c r="C40" s="33" t="str">
        <f>IF(CoDeSysIOs!C40=""," ",J40&amp;""&amp;E40)</f>
        <v>|var|CODESYS Control Win V3 x64.Application.IOs.SOP710_B1</v>
      </c>
      <c r="D40" s="33" t="str">
        <f>IF(CoDeSysIOs!B40="","",CoDeSysIOs!H40)</f>
        <v>Write</v>
      </c>
      <c r="E40" s="33" t="str">
        <f>IF(CoDeSysIOs!C40=""," ",CoDeSysIOs!B40)</f>
        <v>SOP710_B1</v>
      </c>
      <c r="F40" s="33" t="str">
        <f>IF(CoDeSysIOs!D40="","",CoDeSysIOs!G40)</f>
        <v>Digital</v>
      </c>
      <c r="J40" s="70" t="s">
        <v>527</v>
      </c>
    </row>
    <row r="41" ht="14.25" customHeight="1">
      <c r="A41" s="33" t="str">
        <f>IF(CoDeSysIOs!C41=""," ","CODESYSSPV3/3S/IecVarAccess")</f>
        <v>CODESYSSPV3/3S/IecVarAccess</v>
      </c>
      <c r="B41" s="33" t="str">
        <f>IF(CoDeSysIOs!C41=""," ","String")</f>
        <v>String</v>
      </c>
      <c r="C41" s="33" t="str">
        <f>IF(CoDeSysIOs!C41=""," ",J41&amp;""&amp;E41)</f>
        <v>|var|CODESYS Control Win V3 x64.Application.IOs.SOP711_FQ1</v>
      </c>
      <c r="D41" s="33" t="str">
        <f>IF(CoDeSysIOs!B41="","",CoDeSysIOs!H41)</f>
        <v>Write</v>
      </c>
      <c r="E41" s="33" t="str">
        <f>IF(CoDeSysIOs!C41=""," ",CoDeSysIOs!B41)</f>
        <v>SOP711_FQ1</v>
      </c>
      <c r="F41" s="33" t="str">
        <f>IF(CoDeSysIOs!D41="","",CoDeSysIOs!G41)</f>
        <v>Digital</v>
      </c>
      <c r="J41" s="70" t="s">
        <v>527</v>
      </c>
    </row>
    <row r="42" ht="14.25" customHeight="1">
      <c r="A42" s="33" t="str">
        <f>IF(CoDeSysIOs!C42=""," ","CODESYSSPV3/3S/IecVarAccess")</f>
        <v>CODESYSSPV3/3S/IecVarAccess</v>
      </c>
      <c r="B42" s="33" t="str">
        <f>IF(CoDeSysIOs!C42=""," ","String")</f>
        <v>String</v>
      </c>
      <c r="C42" s="33" t="str">
        <f>IF(CoDeSysIOs!C42=""," ",J42&amp;""&amp;E42)</f>
        <v>|var|CODESYS Control Win V3 x64.Application.IOs.SOP711_B1</v>
      </c>
      <c r="D42" s="33" t="str">
        <f>IF(CoDeSysIOs!B42="","",CoDeSysIOs!H42)</f>
        <v>Write</v>
      </c>
      <c r="E42" s="33" t="str">
        <f>IF(CoDeSysIOs!C42=""," ",CoDeSysIOs!B42)</f>
        <v>SOP711_B1</v>
      </c>
      <c r="F42" s="33" t="str">
        <f>IF(CoDeSysIOs!D42="","",CoDeSysIOs!G42)</f>
        <v>Digital</v>
      </c>
      <c r="J42" s="70" t="s">
        <v>527</v>
      </c>
    </row>
    <row r="43" ht="14.25" customHeight="1">
      <c r="A43" s="33" t="str">
        <f>IF(CoDeSysIOs!C43=""," ","CODESYSSPV3/3S/IecVarAccess")</f>
        <v>CODESYSSPV3/3S/IecVarAccess</v>
      </c>
      <c r="B43" s="33" t="str">
        <f>IF(CoDeSysIOs!C43=""," ","String")</f>
        <v>String</v>
      </c>
      <c r="C43" s="33" t="str">
        <f>IF(CoDeSysIOs!C43=""," ",J43&amp;""&amp;E43)</f>
        <v>|var|CODESYS Control Win V3 x64.Application.IOs.SOP712_FQ1</v>
      </c>
      <c r="D43" s="33" t="str">
        <f>IF(CoDeSysIOs!B43="","",CoDeSysIOs!H43)</f>
        <v>Write</v>
      </c>
      <c r="E43" s="33" t="str">
        <f>IF(CoDeSysIOs!C43=""," ",CoDeSysIOs!B43)</f>
        <v>SOP712_FQ1</v>
      </c>
      <c r="F43" s="33" t="str">
        <f>IF(CoDeSysIOs!D43="","",CoDeSysIOs!G43)</f>
        <v>Digital</v>
      </c>
      <c r="J43" s="70" t="s">
        <v>527</v>
      </c>
    </row>
    <row r="44" ht="14.25" customHeight="1">
      <c r="A44" s="33" t="str">
        <f>IF(CoDeSysIOs!C44=""," ","CODESYSSPV3/3S/IecVarAccess")</f>
        <v>CODESYSSPV3/3S/IecVarAccess</v>
      </c>
      <c r="B44" s="33" t="str">
        <f>IF(CoDeSysIOs!C44=""," ","String")</f>
        <v>String</v>
      </c>
      <c r="C44" s="33" t="str">
        <f>IF(CoDeSysIOs!C44=""," ",J44&amp;""&amp;E44)</f>
        <v>|var|CODESYS Control Win V3 x64.Application.IOs.SOP712_B1</v>
      </c>
      <c r="D44" s="33" t="str">
        <f>IF(CoDeSysIOs!B44="","",CoDeSysIOs!H44)</f>
        <v>Write</v>
      </c>
      <c r="E44" s="33" t="str">
        <f>IF(CoDeSysIOs!C44=""," ",CoDeSysIOs!B44)</f>
        <v>SOP712_B1</v>
      </c>
      <c r="F44" s="33" t="str">
        <f>IF(CoDeSysIOs!D44="","",CoDeSysIOs!G44)</f>
        <v>Digital</v>
      </c>
      <c r="J44" s="70" t="s">
        <v>527</v>
      </c>
    </row>
    <row r="45" ht="14.25" customHeight="1">
      <c r="A45" s="33" t="str">
        <f>IF(CoDeSysIOs!C45=""," ","CODESYSSPV3/3S/IecVarAccess")</f>
        <v>CODESYSSPV3/3S/IecVarAccess</v>
      </c>
      <c r="B45" s="33" t="str">
        <f>IF(CoDeSysIOs!C45=""," ","String")</f>
        <v>String</v>
      </c>
      <c r="C45" s="33" t="str">
        <f>IF(CoDeSysIOs!C45=""," ",J45&amp;""&amp;E45)</f>
        <v>|var|CODESYS Control Win V3 x64.Application.IOs.SOP713_FQ1</v>
      </c>
      <c r="D45" s="33" t="str">
        <f>IF(CoDeSysIOs!B45="","",CoDeSysIOs!H45)</f>
        <v>Write</v>
      </c>
      <c r="E45" s="33" t="str">
        <f>IF(CoDeSysIOs!C45=""," ",CoDeSysIOs!B45)</f>
        <v>SOP713_FQ1</v>
      </c>
      <c r="F45" s="33" t="str">
        <f>IF(CoDeSysIOs!D45="","",CoDeSysIOs!G45)</f>
        <v>Digital</v>
      </c>
      <c r="J45" s="70" t="s">
        <v>527</v>
      </c>
    </row>
    <row r="46" ht="14.25" customHeight="1">
      <c r="A46" s="33" t="str">
        <f>IF(CoDeSysIOs!C46=""," ","CODESYSSPV3/3S/IecVarAccess")</f>
        <v>CODESYSSPV3/3S/IecVarAccess</v>
      </c>
      <c r="B46" s="33" t="str">
        <f>IF(CoDeSysIOs!C46=""," ","String")</f>
        <v>String</v>
      </c>
      <c r="C46" s="33" t="str">
        <f>IF(CoDeSysIOs!C46=""," ",J46&amp;""&amp;E46)</f>
        <v>|var|CODESYS Control Win V3 x64.Application.IOs.SOP713_B1</v>
      </c>
      <c r="D46" s="33" t="str">
        <f>IF(CoDeSysIOs!B46="","",CoDeSysIOs!H46)</f>
        <v>Write</v>
      </c>
      <c r="E46" s="33" t="str">
        <f>IF(CoDeSysIOs!C46=""," ",CoDeSysIOs!B46)</f>
        <v>SOP713_B1</v>
      </c>
      <c r="F46" s="33" t="str">
        <f>IF(CoDeSysIOs!D46="","",CoDeSysIOs!G46)</f>
        <v>Digital</v>
      </c>
      <c r="J46" s="70" t="s">
        <v>527</v>
      </c>
    </row>
    <row r="47" ht="14.25" customHeight="1">
      <c r="A47" s="33" t="str">
        <f>IF(CoDeSysIOs!C47=""," ","CODESYSSPV3/3S/IecVarAccess")</f>
        <v>CODESYSSPV3/3S/IecVarAccess</v>
      </c>
      <c r="B47" s="33" t="str">
        <f>IF(CoDeSysIOs!C47=""," ","String")</f>
        <v>String</v>
      </c>
      <c r="C47" s="33" t="str">
        <f>IF(CoDeSysIOs!C47=""," ",J47&amp;""&amp;E47)</f>
        <v>|var|CODESYS Control Win V3 x64.Application.IOs.SOP713_B2</v>
      </c>
      <c r="D47" s="33" t="str">
        <f>IF(CoDeSysIOs!B47="","",CoDeSysIOs!H47)</f>
        <v>Write</v>
      </c>
      <c r="E47" s="33" t="str">
        <f>IF(CoDeSysIOs!C47=""," ",CoDeSysIOs!B47)</f>
        <v>SOP713_B2</v>
      </c>
      <c r="F47" s="33" t="str">
        <f>IF(CoDeSysIOs!D47="","",CoDeSysIOs!G47)</f>
        <v>Digital</v>
      </c>
      <c r="J47" s="70" t="s">
        <v>527</v>
      </c>
    </row>
    <row r="48" ht="14.25" customHeight="1">
      <c r="A48" s="33" t="str">
        <f>IF(CoDeSysIOs!C48=""," ","CODESYSSPV3/3S/IecVarAccess")</f>
        <v>CODESYSSPV3/3S/IecVarAccess</v>
      </c>
      <c r="B48" s="33" t="str">
        <f>IF(CoDeSysIOs!C48=""," ","String")</f>
        <v>String</v>
      </c>
      <c r="C48" s="33" t="str">
        <f>IF(CoDeSysIOs!C48=""," ",J48&amp;""&amp;E48)</f>
        <v>|var|CODESYS Control Win V3 x64.Application.IOs.SOP713_B3</v>
      </c>
      <c r="D48" s="33" t="str">
        <f>IF(CoDeSysIOs!B48="","",CoDeSysIOs!H48)</f>
        <v>Write</v>
      </c>
      <c r="E48" s="33" t="str">
        <f>IF(CoDeSysIOs!C48=""," ",CoDeSysIOs!B48)</f>
        <v>SOP713_B3</v>
      </c>
      <c r="F48" s="33" t="str">
        <f>IF(CoDeSysIOs!D48="","",CoDeSysIOs!G48)</f>
        <v>Digital</v>
      </c>
      <c r="J48" s="70" t="s">
        <v>527</v>
      </c>
    </row>
    <row r="49" ht="14.25" customHeight="1">
      <c r="A49" s="33" t="str">
        <f>IF(CoDeSysIOs!C49=""," ","CODESYSSPV3/3S/IecVarAccess")</f>
        <v>CODESYSSPV3/3S/IecVarAccess</v>
      </c>
      <c r="B49" s="33" t="str">
        <f>IF(CoDeSysIOs!C49=""," ","String")</f>
        <v>String</v>
      </c>
      <c r="C49" s="33" t="str">
        <f>IF(CoDeSysIOs!C49=""," ",J49&amp;""&amp;E49)</f>
        <v>|var|CODESYS Control Win V3 x64.Application.IOs.SOP714_FQ1</v>
      </c>
      <c r="D49" s="33" t="str">
        <f>IF(CoDeSysIOs!B49="","",CoDeSysIOs!H49)</f>
        <v>Write</v>
      </c>
      <c r="E49" s="33" t="str">
        <f>IF(CoDeSysIOs!C49=""," ",CoDeSysIOs!B49)</f>
        <v>SOP714_FQ1</v>
      </c>
      <c r="F49" s="33" t="str">
        <f>IF(CoDeSysIOs!D49="","",CoDeSysIOs!G49)</f>
        <v>Digital</v>
      </c>
      <c r="J49" s="70" t="s">
        <v>527</v>
      </c>
    </row>
    <row r="50" ht="14.25" customHeight="1">
      <c r="A50" s="33" t="str">
        <f>IF(CoDeSysIOs!C50=""," ","CODESYSSPV3/3S/IecVarAccess")</f>
        <v>CODESYSSPV3/3S/IecVarAccess</v>
      </c>
      <c r="B50" s="33" t="str">
        <f>IF(CoDeSysIOs!C50=""," ","String")</f>
        <v>String</v>
      </c>
      <c r="C50" s="33" t="str">
        <f>IF(CoDeSysIOs!C50=""," ",J50&amp;""&amp;E50)</f>
        <v>|var|CODESYS Control Win V3 x64.Application.IOs.SOP714_B1</v>
      </c>
      <c r="D50" s="33" t="str">
        <f>IF(CoDeSysIOs!B50="","",CoDeSysIOs!H50)</f>
        <v>Write</v>
      </c>
      <c r="E50" s="33" t="str">
        <f>IF(CoDeSysIOs!C50=""," ",CoDeSysIOs!B50)</f>
        <v>SOP714_B1</v>
      </c>
      <c r="F50" s="33" t="str">
        <f>IF(CoDeSysIOs!D50="","",CoDeSysIOs!G50)</f>
        <v>Digital</v>
      </c>
      <c r="J50" s="70" t="s">
        <v>527</v>
      </c>
    </row>
    <row r="51" ht="14.25" customHeight="1">
      <c r="A51" s="33" t="str">
        <f>IF(CoDeSysIOs!C51=""," ","CODESYSSPV3/3S/IecVarAccess")</f>
        <v>CODESYSSPV3/3S/IecVarAccess</v>
      </c>
      <c r="B51" s="33" t="str">
        <f>IF(CoDeSysIOs!C51=""," ","String")</f>
        <v>String</v>
      </c>
      <c r="C51" s="33" t="str">
        <f>IF(CoDeSysIOs!C51=""," ",J51&amp;""&amp;E51)</f>
        <v>|var|CODESYS Control Win V3 x64.Application.IOs.SOP715_FQ1</v>
      </c>
      <c r="D51" s="33" t="str">
        <f>IF(CoDeSysIOs!B51="","",CoDeSysIOs!H51)</f>
        <v>Write</v>
      </c>
      <c r="E51" s="33" t="str">
        <f>IF(CoDeSysIOs!C51=""," ",CoDeSysIOs!B51)</f>
        <v>SOP715_FQ1</v>
      </c>
      <c r="F51" s="33" t="str">
        <f>IF(CoDeSysIOs!D51="","",CoDeSysIOs!G51)</f>
        <v>Digital</v>
      </c>
      <c r="J51" s="70" t="s">
        <v>527</v>
      </c>
    </row>
    <row r="52" ht="14.25" customHeight="1">
      <c r="A52" s="33" t="str">
        <f>IF(CoDeSysIOs!C52=""," ","CODESYSSPV3/3S/IecVarAccess")</f>
        <v>CODESYSSPV3/3S/IecVarAccess</v>
      </c>
      <c r="B52" s="33" t="str">
        <f>IF(CoDeSysIOs!C52=""," ","String")</f>
        <v>String</v>
      </c>
      <c r="C52" s="33" t="str">
        <f>IF(CoDeSysIOs!C52=""," ",J52&amp;""&amp;E52)</f>
        <v>|var|CODESYS Control Win V3 x64.Application.IOs.SOP715_B1</v>
      </c>
      <c r="D52" s="33" t="str">
        <f>IF(CoDeSysIOs!B52="","",CoDeSysIOs!H52)</f>
        <v>Write</v>
      </c>
      <c r="E52" s="33" t="str">
        <f>IF(CoDeSysIOs!C52=""," ",CoDeSysIOs!B52)</f>
        <v>SOP715_B1</v>
      </c>
      <c r="F52" s="33" t="str">
        <f>IF(CoDeSysIOs!D52="","",CoDeSysIOs!G52)</f>
        <v>Digital</v>
      </c>
      <c r="J52" s="70" t="s">
        <v>527</v>
      </c>
    </row>
    <row r="53" ht="14.25" customHeight="1">
      <c r="A53" s="33" t="str">
        <f>IF(CoDeSysIOs!C53=""," ","CODESYSSPV3/3S/IecVarAccess")</f>
        <v>CODESYSSPV3/3S/IecVarAccess</v>
      </c>
      <c r="B53" s="33" t="str">
        <f>IF(CoDeSysIOs!C53=""," ","String")</f>
        <v>String</v>
      </c>
      <c r="C53" s="33" t="str">
        <f>IF(CoDeSysIOs!C53=""," ",J53&amp;""&amp;E53)</f>
        <v>|var|CODESYS Control Win V3 x64.Application.IOs.SOP716_FQ1</v>
      </c>
      <c r="D53" s="33" t="str">
        <f>IF(CoDeSysIOs!B53="","",CoDeSysIOs!H53)</f>
        <v>Write</v>
      </c>
      <c r="E53" s="33" t="str">
        <f>IF(CoDeSysIOs!C53=""," ",CoDeSysIOs!B53)</f>
        <v>SOP716_FQ1</v>
      </c>
      <c r="F53" s="33" t="str">
        <f>IF(CoDeSysIOs!D53="","",CoDeSysIOs!G53)</f>
        <v>Digital</v>
      </c>
      <c r="J53" s="70" t="s">
        <v>527</v>
      </c>
    </row>
    <row r="54" ht="14.25" customHeight="1">
      <c r="A54" s="33" t="str">
        <f>IF(CoDeSysIOs!C54=""," ","CODESYSSPV3/3S/IecVarAccess")</f>
        <v>CODESYSSPV3/3S/IecVarAccess</v>
      </c>
      <c r="B54" s="33" t="str">
        <f>IF(CoDeSysIOs!C54=""," ","String")</f>
        <v>String</v>
      </c>
      <c r="C54" s="33" t="str">
        <f>IF(CoDeSysIOs!C54=""," ",J54&amp;""&amp;E54)</f>
        <v>|var|CODESYS Control Win V3 x64.Application.IOs.SOP716_B1</v>
      </c>
      <c r="D54" s="33" t="str">
        <f>IF(CoDeSysIOs!B54="","",CoDeSysIOs!H54)</f>
        <v>Write</v>
      </c>
      <c r="E54" s="33" t="str">
        <f>IF(CoDeSysIOs!C54=""," ",CoDeSysIOs!B54)</f>
        <v>SOP716_B1</v>
      </c>
      <c r="F54" s="33" t="str">
        <f>IF(CoDeSysIOs!D54="","",CoDeSysIOs!G54)</f>
        <v>Digital</v>
      </c>
      <c r="J54" s="70" t="s">
        <v>527</v>
      </c>
    </row>
    <row r="55" ht="14.25" customHeight="1">
      <c r="A55" s="33" t="str">
        <f>IF(CoDeSysIOs!C55=""," ","CODESYSSPV3/3S/IecVarAccess")</f>
        <v> </v>
      </c>
      <c r="B55" s="33" t="str">
        <f>IF(CoDeSysIOs!C55=""," ","String")</f>
        <v> </v>
      </c>
      <c r="C55" s="33" t="str">
        <f>IF(CoDeSysIOs!C55=""," ",J55&amp;""&amp;E55)</f>
        <v> </v>
      </c>
      <c r="D55" s="33" t="str">
        <f>IF(CoDeSysIOs!B55="","",CoDeSysIOs!H55)</f>
        <v/>
      </c>
      <c r="E55" s="33" t="str">
        <f>IF(CoDeSysIOs!C55=""," ",CoDeSysIOs!B55)</f>
        <v> </v>
      </c>
      <c r="F55" s="33" t="str">
        <f>IF(CoDeSysIOs!D55="","",CoDeSysIOs!G55)</f>
        <v/>
      </c>
      <c r="J55" s="70" t="s">
        <v>527</v>
      </c>
    </row>
    <row r="56" ht="14.25" customHeight="1">
      <c r="A56" s="33" t="str">
        <f>IF(CoDeSysIOs!C56=""," ","CODESYSSPV3/3S/IecVarAccess")</f>
        <v>CODESYSSPV3/3S/IecVarAccess</v>
      </c>
      <c r="B56" s="33" t="str">
        <f>IF(CoDeSysIOs!C56=""," ","String")</f>
        <v>String</v>
      </c>
      <c r="C56" s="33" t="str">
        <f>IF(CoDeSysIOs!C56=""," ",J56&amp;""&amp;E56)</f>
        <v>|var|CODESYS Control Win V3 x64.Application.IOs.SOP717_FQ1</v>
      </c>
      <c r="D56" s="33" t="str">
        <f>IF(CoDeSysIOs!B56="","",CoDeSysIOs!H56)</f>
        <v>Write</v>
      </c>
      <c r="E56" s="33" t="str">
        <f>IF(CoDeSysIOs!C56=""," ",CoDeSysIOs!B56)</f>
        <v>SOP717_FQ1</v>
      </c>
      <c r="F56" s="33" t="str">
        <f>IF(CoDeSysIOs!D56="","",CoDeSysIOs!G56)</f>
        <v>Digital</v>
      </c>
      <c r="J56" s="70" t="s">
        <v>527</v>
      </c>
    </row>
    <row r="57" ht="14.25" customHeight="1">
      <c r="A57" s="33" t="str">
        <f>IF(CoDeSysIOs!C57=""," ","CODESYSSPV3/3S/IecVarAccess")</f>
        <v>CODESYSSPV3/3S/IecVarAccess</v>
      </c>
      <c r="B57" s="33" t="str">
        <f>IF(CoDeSysIOs!C57=""," ","String")</f>
        <v>String</v>
      </c>
      <c r="C57" s="33" t="str">
        <f>IF(CoDeSysIOs!C57=""," ",J57&amp;""&amp;E57)</f>
        <v>|var|CODESYS Control Win V3 x64.Application.IOs.SOP717_B1</v>
      </c>
      <c r="D57" s="33" t="str">
        <f>IF(CoDeSysIOs!B57="","",CoDeSysIOs!H57)</f>
        <v>Write</v>
      </c>
      <c r="E57" s="33" t="str">
        <f>IF(CoDeSysIOs!C57=""," ",CoDeSysIOs!B57)</f>
        <v>SOP717_B1</v>
      </c>
      <c r="F57" s="33" t="str">
        <f>IF(CoDeSysIOs!D57="","",CoDeSysIOs!G57)</f>
        <v>Digital</v>
      </c>
      <c r="J57" s="70" t="s">
        <v>527</v>
      </c>
    </row>
    <row r="58" ht="14.25" customHeight="1">
      <c r="A58" s="33" t="str">
        <f>IF(CoDeSysIOs!C58=""," ","CODESYSSPV3/3S/IecVarAccess")</f>
        <v>CODESYSSPV3/3S/IecVarAccess</v>
      </c>
      <c r="B58" s="33" t="str">
        <f>IF(CoDeSysIOs!C58=""," ","String")</f>
        <v>String</v>
      </c>
      <c r="C58" s="33" t="str">
        <f>IF(CoDeSysIOs!C58=""," ",J58&amp;""&amp;E58)</f>
        <v>|var|CODESYS Control Win V3 x64.Application.IOs.SOP720_FQ1</v>
      </c>
      <c r="D58" s="33" t="str">
        <f>IF(CoDeSysIOs!B58="","",CoDeSysIOs!H58)</f>
        <v>Write</v>
      </c>
      <c r="E58" s="33" t="str">
        <f>IF(CoDeSysIOs!C58=""," ",CoDeSysIOs!B58)</f>
        <v>SOP720_FQ1</v>
      </c>
      <c r="F58" s="33" t="str">
        <f>IF(CoDeSysIOs!D58="","",CoDeSysIOs!G58)</f>
        <v>Digital</v>
      </c>
      <c r="J58" s="70" t="s">
        <v>527</v>
      </c>
    </row>
    <row r="59" ht="14.25" customHeight="1">
      <c r="A59" s="33" t="str">
        <f>IF(CoDeSysIOs!C59=""," ","CODESYSSPV3/3S/IecVarAccess")</f>
        <v>CODESYSSPV3/3S/IecVarAccess</v>
      </c>
      <c r="B59" s="33" t="str">
        <f>IF(CoDeSysIOs!C59=""," ","String")</f>
        <v>String</v>
      </c>
      <c r="C59" s="33" t="str">
        <f>IF(CoDeSysIOs!C59=""," ",J59&amp;""&amp;E59)</f>
        <v>|var|CODESYS Control Win V3 x64.Application.IOs.SOP720_B1</v>
      </c>
      <c r="D59" s="33" t="str">
        <f>IF(CoDeSysIOs!B59="","",CoDeSysIOs!H59)</f>
        <v>Write</v>
      </c>
      <c r="E59" s="33" t="str">
        <f>IF(CoDeSysIOs!C59=""," ",CoDeSysIOs!B59)</f>
        <v>SOP720_B1</v>
      </c>
      <c r="F59" s="33" t="str">
        <f>IF(CoDeSysIOs!D59="","",CoDeSysIOs!G59)</f>
        <v>Digital</v>
      </c>
      <c r="J59" s="70" t="s">
        <v>527</v>
      </c>
    </row>
    <row r="60" ht="14.25" customHeight="1">
      <c r="A60" s="33" t="str">
        <f>IF(CoDeSysIOs!C60=""," ","CODESYSSPV3/3S/IecVarAccess")</f>
        <v>CODESYSSPV3/3S/IecVarAccess</v>
      </c>
      <c r="B60" s="33" t="str">
        <f>IF(CoDeSysIOs!C60=""," ","String")</f>
        <v>String</v>
      </c>
      <c r="C60" s="33" t="str">
        <f>IF(CoDeSysIOs!C60=""," ",J60&amp;""&amp;E60)</f>
        <v>|var|CODESYS Control Win V3 x64.Application.IOs.SOP720_FQ2</v>
      </c>
      <c r="D60" s="33" t="str">
        <f>IF(CoDeSysIOs!B60="","",CoDeSysIOs!H60)</f>
        <v>Write</v>
      </c>
      <c r="E60" s="33" t="str">
        <f>IF(CoDeSysIOs!C60=""," ",CoDeSysIOs!B60)</f>
        <v>SOP720_FQ2</v>
      </c>
      <c r="F60" s="33" t="str">
        <f>IF(CoDeSysIOs!D60="","",CoDeSysIOs!G60)</f>
        <v>Digital</v>
      </c>
      <c r="J60" s="70" t="s">
        <v>527</v>
      </c>
    </row>
    <row r="61" ht="14.25" customHeight="1">
      <c r="A61" s="33" t="str">
        <f>IF(CoDeSysIOs!C61=""," ","CODESYSSPV3/3S/IecVarAccess")</f>
        <v>CODESYSSPV3/3S/IecVarAccess</v>
      </c>
      <c r="B61" s="33" t="str">
        <f>IF(CoDeSysIOs!C61=""," ","String")</f>
        <v>String</v>
      </c>
      <c r="C61" s="33" t="str">
        <f>IF(CoDeSysIOs!C61=""," ",J61&amp;""&amp;E61)</f>
        <v>|var|CODESYS Control Win V3 x64.Application.IOs.SOP720_B2</v>
      </c>
      <c r="D61" s="33" t="str">
        <f>IF(CoDeSysIOs!B61="","",CoDeSysIOs!H61)</f>
        <v>Write</v>
      </c>
      <c r="E61" s="33" t="str">
        <f>IF(CoDeSysIOs!C61=""," ",CoDeSysIOs!B61)</f>
        <v>SOP720_B2</v>
      </c>
      <c r="F61" s="33" t="str">
        <f>IF(CoDeSysIOs!D61="","",CoDeSysIOs!G61)</f>
        <v>Digital</v>
      </c>
      <c r="J61" s="70" t="s">
        <v>527</v>
      </c>
    </row>
    <row r="62" ht="14.25" customHeight="1">
      <c r="A62" s="33" t="str">
        <f>IF(CoDeSysIOs!C62=""," ","CODESYSSPV3/3S/IecVarAccess")</f>
        <v>CODESYSSPV3/3S/IecVarAccess</v>
      </c>
      <c r="B62" s="33" t="str">
        <f>IF(CoDeSysIOs!C62=""," ","String")</f>
        <v>String</v>
      </c>
      <c r="C62" s="33" t="str">
        <f>IF(CoDeSysIOs!C62=""," ",J62&amp;""&amp;E62)</f>
        <v>|var|CODESYS Control Win V3 x64.Application.IOs.SOP720_B3</v>
      </c>
      <c r="D62" s="33" t="str">
        <f>IF(CoDeSysIOs!B62="","",CoDeSysIOs!H62)</f>
        <v>Write</v>
      </c>
      <c r="E62" s="33" t="str">
        <f>IF(CoDeSysIOs!C62=""," ",CoDeSysIOs!B62)</f>
        <v>SOP720_B3</v>
      </c>
      <c r="F62" s="33" t="str">
        <f>IF(CoDeSysIOs!D62="","",CoDeSysIOs!G62)</f>
        <v>Digital</v>
      </c>
      <c r="J62" s="70" t="s">
        <v>527</v>
      </c>
    </row>
    <row r="63" ht="14.25" customHeight="1">
      <c r="A63" s="33" t="str">
        <f>IF(CoDeSysIOs!C63=""," ","CODESYSSPV3/3S/IecVarAccess")</f>
        <v> </v>
      </c>
      <c r="B63" s="33" t="str">
        <f>IF(CoDeSysIOs!C63=""," ","String")</f>
        <v> </v>
      </c>
      <c r="C63" s="33" t="str">
        <f>IF(CoDeSysIOs!C63=""," ",J63&amp;""&amp;E63)</f>
        <v> </v>
      </c>
      <c r="D63" s="33" t="str">
        <f>IF(CoDeSysIOs!B63="","",CoDeSysIOs!H63)</f>
        <v/>
      </c>
      <c r="E63" s="33" t="str">
        <f>IF(CoDeSysIOs!C63=""," ",CoDeSysIOs!B63)</f>
        <v> </v>
      </c>
      <c r="F63" s="33" t="str">
        <f>IF(CoDeSysIOs!D63="","",CoDeSysIOs!G63)</f>
        <v/>
      </c>
      <c r="J63" s="70" t="s">
        <v>527</v>
      </c>
    </row>
    <row r="64" ht="14.25" customHeight="1">
      <c r="A64" s="33" t="str">
        <f>IF(CoDeSysIOs!C64=""," ","CODESYSSPV3/3S/IecVarAccess")</f>
        <v> </v>
      </c>
      <c r="B64" s="33" t="str">
        <f>IF(CoDeSysIOs!C64=""," ","String")</f>
        <v> </v>
      </c>
      <c r="C64" s="33" t="str">
        <f>IF(CoDeSysIOs!C64=""," ",J64&amp;""&amp;E64)</f>
        <v> </v>
      </c>
      <c r="D64" s="33" t="str">
        <f>IF(CoDeSysIOs!B64="","",CoDeSysIOs!H64)</f>
        <v/>
      </c>
      <c r="E64" s="33" t="str">
        <f>IF(CoDeSysIOs!C64=""," ",CoDeSysIOs!B64)</f>
        <v> </v>
      </c>
      <c r="F64" s="33" t="str">
        <f>IF(CoDeSysIOs!D64="","",CoDeSysIOs!G64)</f>
        <v/>
      </c>
      <c r="J64" s="70" t="s">
        <v>527</v>
      </c>
    </row>
    <row r="65" ht="14.25" customHeight="1">
      <c r="A65" s="33" t="str">
        <f>IF(CoDeSysIOs!C65=""," ","CODESYSSPV3/3S/IecVarAccess")</f>
        <v> </v>
      </c>
      <c r="B65" s="33" t="str">
        <f>IF(CoDeSysIOs!C65=""," ","String")</f>
        <v> </v>
      </c>
      <c r="C65" s="33" t="str">
        <f>IF(CoDeSysIOs!C65=""," ",J65&amp;""&amp;E65)</f>
        <v> </v>
      </c>
      <c r="D65" s="33" t="str">
        <f>IF(CoDeSysIOs!B65="","",CoDeSysIOs!H65)</f>
        <v/>
      </c>
      <c r="E65" s="33" t="str">
        <f>IF(CoDeSysIOs!C65=""," ",CoDeSysIOs!B65)</f>
        <v> </v>
      </c>
      <c r="F65" s="33" t="str">
        <f>IF(CoDeSysIOs!D65="","",CoDeSysIOs!G65)</f>
        <v/>
      </c>
      <c r="J65" s="70" t="s">
        <v>527</v>
      </c>
    </row>
    <row r="66" ht="14.25" customHeight="1">
      <c r="A66" s="33" t="str">
        <f>IF(CoDeSysIOs!C66=""," ","CODESYSSPV3/3S/IecVarAccess")</f>
        <v> </v>
      </c>
      <c r="B66" s="33" t="str">
        <f>IF(CoDeSysIOs!C66=""," ","String")</f>
        <v> </v>
      </c>
      <c r="C66" s="33" t="str">
        <f>IF(CoDeSysIOs!C66=""," ",J66&amp;""&amp;E66)</f>
        <v> </v>
      </c>
      <c r="D66" s="33" t="str">
        <f>IF(CoDeSysIOs!B66="","",CoDeSysIOs!H66)</f>
        <v/>
      </c>
      <c r="E66" s="33" t="str">
        <f>IF(CoDeSysIOs!C66=""," ",CoDeSysIOs!B66)</f>
        <v> </v>
      </c>
      <c r="F66" s="33" t="str">
        <f>IF(CoDeSysIOs!D66="","",CoDeSysIOs!G66)</f>
        <v/>
      </c>
      <c r="J66" s="70" t="s">
        <v>527</v>
      </c>
    </row>
    <row r="67" ht="14.25" customHeight="1">
      <c r="A67" s="33" t="str">
        <f>IF(CoDeSysIOs!C67=""," ","CODESYSSPV3/3S/IecVarAccess")</f>
        <v> </v>
      </c>
      <c r="B67" s="33" t="str">
        <f>IF(CoDeSysIOs!C67=""," ","String")</f>
        <v> </v>
      </c>
      <c r="C67" s="33" t="str">
        <f>IF(CoDeSysIOs!C67=""," ",J67&amp;""&amp;E67)</f>
        <v> </v>
      </c>
      <c r="D67" s="33" t="str">
        <f>IF(CoDeSysIOs!B67="","",CoDeSysIOs!H67)</f>
        <v/>
      </c>
      <c r="E67" s="33" t="str">
        <f>IF(CoDeSysIOs!C67=""," ",CoDeSysIOs!B67)</f>
        <v> </v>
      </c>
      <c r="F67" s="33" t="str">
        <f>IF(CoDeSysIOs!D67="","",CoDeSysIOs!G67)</f>
        <v/>
      </c>
      <c r="J67" s="70" t="s">
        <v>527</v>
      </c>
    </row>
    <row r="68" ht="14.25" customHeight="1">
      <c r="A68" s="33" t="str">
        <f>IF(CoDeSysIOs!C68=""," ","CODESYSSPV3/3S/IecVarAccess")</f>
        <v>CODESYSSPV3/3S/IecVarAccess</v>
      </c>
      <c r="B68" s="33" t="str">
        <f>IF(CoDeSysIOs!C68=""," ","String")</f>
        <v>String</v>
      </c>
      <c r="C68" s="33" t="str">
        <f>IF(CoDeSysIOs!C68=""," ",J68&amp;""&amp;E68)</f>
        <v>|var|CODESYS Control Win V3 x64.Application.IOs.SOP720_LC1_ON</v>
      </c>
      <c r="D68" s="33" t="str">
        <f>IF(CoDeSysIOs!B68="","",CoDeSysIOs!H68)</f>
        <v>Write</v>
      </c>
      <c r="E68" s="33" t="str">
        <f>IF(CoDeSysIOs!C68=""," ",CoDeSysIOs!B68)</f>
        <v>SOP720_LC1_ON</v>
      </c>
      <c r="F68" s="33" t="str">
        <f>IF(CoDeSysIOs!D68="","",CoDeSysIOs!G68)</f>
        <v>Digital</v>
      </c>
      <c r="J68" s="70" t="s">
        <v>527</v>
      </c>
    </row>
    <row r="69" ht="14.25" customHeight="1">
      <c r="A69" s="33" t="str">
        <f>IF(CoDeSysIOs!C69=""," ","CODESYSSPV3/3S/IecVarAccess")</f>
        <v>CODESYSSPV3/3S/IecVarAccess</v>
      </c>
      <c r="B69" s="33" t="str">
        <f>IF(CoDeSysIOs!C69=""," ","String")</f>
        <v>String</v>
      </c>
      <c r="C69" s="33" t="str">
        <f>IF(CoDeSysIOs!C69=""," ",J69&amp;""&amp;E69)</f>
        <v>|var|CODESYS Control Win V3 x64.Application.IOs.SOP720_LC2_ON</v>
      </c>
      <c r="D69" s="33" t="str">
        <f>IF(CoDeSysIOs!B69="","",CoDeSysIOs!H69)</f>
        <v>Write</v>
      </c>
      <c r="E69" s="33" t="str">
        <f>IF(CoDeSysIOs!C69=""," ",CoDeSysIOs!B69)</f>
        <v>SOP720_LC2_ON</v>
      </c>
      <c r="F69" s="33" t="str">
        <f>IF(CoDeSysIOs!D69="","",CoDeSysIOs!G69)</f>
        <v>Digital</v>
      </c>
      <c r="J69" s="70" t="s">
        <v>527</v>
      </c>
    </row>
    <row r="70" ht="14.25" customHeight="1">
      <c r="A70" s="33" t="str">
        <f>IF(CoDeSysIOs!C70=""," ","CODESYSSPV3/3S/IecVarAccess")</f>
        <v>CODESYSSPV3/3S/IecVarAccess</v>
      </c>
      <c r="B70" s="33" t="str">
        <f>IF(CoDeSysIOs!C70=""," ","String")</f>
        <v>String</v>
      </c>
      <c r="C70" s="33" t="str">
        <f>IF(CoDeSysIOs!C70=""," ",J70&amp;""&amp;E70)</f>
        <v>|var|CODESYS Control Win V3 x64.Application.IOs.SOP720_B8</v>
      </c>
      <c r="D70" s="33" t="str">
        <f>IF(CoDeSysIOs!B70="","",CoDeSysIOs!H70)</f>
        <v>Write</v>
      </c>
      <c r="E70" s="33" t="str">
        <f>IF(CoDeSysIOs!C70=""," ",CoDeSysIOs!B70)</f>
        <v>SOP720_B8</v>
      </c>
      <c r="F70" s="33" t="str">
        <f>IF(CoDeSysIOs!D70="","",CoDeSysIOs!G70)</f>
        <v>Digital</v>
      </c>
      <c r="J70" s="70" t="s">
        <v>527</v>
      </c>
    </row>
    <row r="71" ht="14.25" customHeight="1">
      <c r="A71" s="33" t="str">
        <f>IF(CoDeSysIOs!C71=""," ","CODESYSSPV3/3S/IecVarAccess")</f>
        <v>CODESYSSPV3/3S/IecVarAccess</v>
      </c>
      <c r="B71" s="33" t="str">
        <f>IF(CoDeSysIOs!C71=""," ","String")</f>
        <v>String</v>
      </c>
      <c r="C71" s="33" t="str">
        <f>IF(CoDeSysIOs!C71=""," ",J71&amp;""&amp;E71)</f>
        <v>|var|CODESYS Control Win V3 x64.Application.IOs.SOP720_HMI_B1</v>
      </c>
      <c r="D71" s="33" t="str">
        <f>IF(CoDeSysIOs!B71="","",CoDeSysIOs!H71)</f>
        <v>Write</v>
      </c>
      <c r="E71" s="33" t="str">
        <f>IF(CoDeSysIOs!C71=""," ",CoDeSysIOs!B71)</f>
        <v>SOP720_HMI_B1</v>
      </c>
      <c r="F71" s="33" t="str">
        <f>IF(CoDeSysIOs!D71="","",CoDeSysIOs!G71)</f>
        <v>Digital</v>
      </c>
      <c r="J71" s="70" t="s">
        <v>527</v>
      </c>
    </row>
    <row r="72" ht="14.25" customHeight="1">
      <c r="A72" s="33" t="str">
        <f>IF(CoDeSysIOs!C72=""," ","CODESYSSPV3/3S/IecVarAccess")</f>
        <v> </v>
      </c>
      <c r="B72" s="33" t="str">
        <f>IF(CoDeSysIOs!C72=""," ","String")</f>
        <v> </v>
      </c>
      <c r="C72" s="33" t="str">
        <f>IF(CoDeSysIOs!C72=""," ",J72&amp;""&amp;E72)</f>
        <v> </v>
      </c>
      <c r="D72" s="33" t="str">
        <f>IF(CoDeSysIOs!B72="","",CoDeSysIOs!H72)</f>
        <v/>
      </c>
      <c r="E72" s="33" t="str">
        <f>IF(CoDeSysIOs!C72=""," ",CoDeSysIOs!B72)</f>
        <v> </v>
      </c>
      <c r="F72" s="33" t="str">
        <f>IF(CoDeSysIOs!D72="","",CoDeSysIOs!G72)</f>
        <v/>
      </c>
      <c r="J72" s="70" t="s">
        <v>527</v>
      </c>
    </row>
    <row r="73" ht="14.25" customHeight="1">
      <c r="A73" s="33" t="str">
        <f>IF(CoDeSysIOs!C73=""," ","CODESYSSPV3/3S/IecVarAccess")</f>
        <v>CODESYSSPV3/3S/IecVarAccess</v>
      </c>
      <c r="B73" s="33" t="str">
        <f>IF(CoDeSysIOs!C73=""," ","String")</f>
        <v>String</v>
      </c>
      <c r="C73" s="33" t="str">
        <f>IF(CoDeSysIOs!C73=""," ",J73&amp;""&amp;E73)</f>
        <v>|var|CODESYS Control Win V3 x64.Application.IOs.SOP721_FQ1</v>
      </c>
      <c r="D73" s="33" t="str">
        <f>IF(CoDeSysIOs!B73="","",CoDeSysIOs!H73)</f>
        <v>Write</v>
      </c>
      <c r="E73" s="33" t="str">
        <f>IF(CoDeSysIOs!C73=""," ",CoDeSysIOs!B73)</f>
        <v>SOP721_FQ1</v>
      </c>
      <c r="F73" s="33" t="str">
        <f>IF(CoDeSysIOs!D73="","",CoDeSysIOs!G73)</f>
        <v>Digital</v>
      </c>
      <c r="J73" s="70" t="s">
        <v>527</v>
      </c>
    </row>
    <row r="74" ht="14.25" customHeight="1">
      <c r="A74" s="33" t="str">
        <f>IF(CoDeSysIOs!C74=""," ","CODESYSSPV3/3S/IecVarAccess")</f>
        <v>CODESYSSPV3/3S/IecVarAccess</v>
      </c>
      <c r="B74" s="33" t="str">
        <f>IF(CoDeSysIOs!C74=""," ","String")</f>
        <v>String</v>
      </c>
      <c r="C74" s="33" t="str">
        <f>IF(CoDeSysIOs!C74=""," ",J74&amp;""&amp;E74)</f>
        <v>|var|CODESYS Control Win V3 x64.Application.IOs.SOP721_B1</v>
      </c>
      <c r="D74" s="33" t="str">
        <f>IF(CoDeSysIOs!B74="","",CoDeSysIOs!H74)</f>
        <v>Write</v>
      </c>
      <c r="E74" s="33" t="str">
        <f>IF(CoDeSysIOs!C74=""," ",CoDeSysIOs!B74)</f>
        <v>SOP721_B1</v>
      </c>
      <c r="F74" s="33" t="str">
        <f>IF(CoDeSysIOs!D74="","",CoDeSysIOs!G74)</f>
        <v>Digital</v>
      </c>
      <c r="J74" s="70" t="s">
        <v>527</v>
      </c>
    </row>
    <row r="75" ht="14.25" customHeight="1">
      <c r="A75" s="33" t="str">
        <f>IF(CoDeSysIOs!C75=""," ","CODESYSSPV3/3S/IecVarAccess")</f>
        <v>CODESYSSPV3/3S/IecVarAccess</v>
      </c>
      <c r="B75" s="33" t="str">
        <f>IF(CoDeSysIOs!C75=""," ","String")</f>
        <v>String</v>
      </c>
      <c r="C75" s="33" t="str">
        <f>IF(CoDeSysIOs!C75=""," ",J75&amp;""&amp;E75)</f>
        <v>|var|CODESYS Control Win V3 x64.Application.IOs.SOP730_FQ1</v>
      </c>
      <c r="D75" s="33" t="str">
        <f>IF(CoDeSysIOs!B75="","",CoDeSysIOs!H75)</f>
        <v>Write</v>
      </c>
      <c r="E75" s="33" t="str">
        <f>IF(CoDeSysIOs!C75=""," ",CoDeSysIOs!B75)</f>
        <v>SOP730_FQ1</v>
      </c>
      <c r="F75" s="33" t="str">
        <f>IF(CoDeSysIOs!D75="","",CoDeSysIOs!G75)</f>
        <v>Digital</v>
      </c>
      <c r="J75" s="70" t="s">
        <v>527</v>
      </c>
    </row>
    <row r="76" ht="14.25" customHeight="1">
      <c r="A76" s="33" t="str">
        <f>IF(CoDeSysIOs!C76=""," ","CODESYSSPV3/3S/IecVarAccess")</f>
        <v>CODESYSSPV3/3S/IecVarAccess</v>
      </c>
      <c r="B76" s="33" t="str">
        <f>IF(CoDeSysIOs!C76=""," ","String")</f>
        <v>String</v>
      </c>
      <c r="C76" s="33" t="str">
        <f>IF(CoDeSysIOs!C76=""," ",J76&amp;""&amp;E76)</f>
        <v>|var|CODESYS Control Win V3 x64.Application.IOs.SOP730_B1</v>
      </c>
      <c r="D76" s="33" t="str">
        <f>IF(CoDeSysIOs!B76="","",CoDeSysIOs!H76)</f>
        <v>Write</v>
      </c>
      <c r="E76" s="33" t="str">
        <f>IF(CoDeSysIOs!C76=""," ",CoDeSysIOs!B76)</f>
        <v>SOP730_B1</v>
      </c>
      <c r="F76" s="33" t="str">
        <f>IF(CoDeSysIOs!D76="","",CoDeSysIOs!G76)</f>
        <v>Digital</v>
      </c>
      <c r="J76" s="70" t="s">
        <v>527</v>
      </c>
    </row>
    <row r="77" ht="14.25" customHeight="1">
      <c r="A77" s="33" t="str">
        <f>IF(CoDeSysIOs!C77=""," ","CODESYSSPV3/3S/IecVarAccess")</f>
        <v>CODESYSSPV3/3S/IecVarAccess</v>
      </c>
      <c r="B77" s="33" t="str">
        <f>IF(CoDeSysIOs!C77=""," ","String")</f>
        <v>String</v>
      </c>
      <c r="C77" s="33" t="str">
        <f>IF(CoDeSysIOs!C77=""," ",J77&amp;""&amp;E77)</f>
        <v>|var|CODESYS Control Win V3 x64.Application.IOs.SOP730_B2</v>
      </c>
      <c r="D77" s="33" t="str">
        <f>IF(CoDeSysIOs!B77="","",CoDeSysIOs!H77)</f>
        <v>Write</v>
      </c>
      <c r="E77" s="33" t="str">
        <f>IF(CoDeSysIOs!C77=""," ",CoDeSysIOs!B77)</f>
        <v>SOP730_B2</v>
      </c>
      <c r="F77" s="33" t="str">
        <f>IF(CoDeSysIOs!D77="","",CoDeSysIOs!G77)</f>
        <v>Digital</v>
      </c>
      <c r="J77" s="70" t="s">
        <v>527</v>
      </c>
    </row>
    <row r="78" ht="14.25" customHeight="1">
      <c r="A78" s="33" t="str">
        <f>IF(CoDeSysIOs!C78=""," ","CODESYSSPV3/3S/IecVarAccess")</f>
        <v>CODESYSSPV3/3S/IecVarAccess</v>
      </c>
      <c r="B78" s="33" t="str">
        <f>IF(CoDeSysIOs!C78=""," ","String")</f>
        <v>String</v>
      </c>
      <c r="C78" s="33" t="str">
        <f>IF(CoDeSysIOs!C78=""," ",J78&amp;""&amp;E78)</f>
        <v>|var|CODESYS Control Win V3 x64.Application.IOs.SOP730_B3</v>
      </c>
      <c r="D78" s="33" t="str">
        <f>IF(CoDeSysIOs!B78="","",CoDeSysIOs!H78)</f>
        <v>Write</v>
      </c>
      <c r="E78" s="33" t="str">
        <f>IF(CoDeSysIOs!C78=""," ",CoDeSysIOs!B78)</f>
        <v>SOP730_B3</v>
      </c>
      <c r="F78" s="33" t="str">
        <f>IF(CoDeSysIOs!D78="","",CoDeSysIOs!G78)</f>
        <v>Digital</v>
      </c>
      <c r="J78" s="70" t="s">
        <v>527</v>
      </c>
    </row>
    <row r="79" ht="14.25" customHeight="1">
      <c r="A79" s="33" t="str">
        <f>IF(CoDeSysIOs!C79=""," ","CODESYSSPV3/3S/IecVarAccess")</f>
        <v>CODESYSSPV3/3S/IecVarAccess</v>
      </c>
      <c r="B79" s="33" t="str">
        <f>IF(CoDeSysIOs!C79=""," ","String")</f>
        <v>String</v>
      </c>
      <c r="C79" s="33" t="str">
        <f>IF(CoDeSysIOs!C79=""," ",J79&amp;""&amp;E79)</f>
        <v>|var|CODESYS Control Win V3 x64.Application.IOs.SOP722_FQ1</v>
      </c>
      <c r="D79" s="33" t="str">
        <f>IF(CoDeSysIOs!B79="","",CoDeSysIOs!H79)</f>
        <v>Write</v>
      </c>
      <c r="E79" s="33" t="str">
        <f>IF(CoDeSysIOs!C79=""," ",CoDeSysIOs!B79)</f>
        <v>SOP722_FQ1</v>
      </c>
      <c r="F79" s="33" t="str">
        <f>IF(CoDeSysIOs!D79="","",CoDeSysIOs!G79)</f>
        <v>Digital</v>
      </c>
      <c r="J79" s="70" t="s">
        <v>527</v>
      </c>
    </row>
    <row r="80" ht="14.25" customHeight="1">
      <c r="A80" s="33" t="str">
        <f>IF(CoDeSysIOs!C80=""," ","CODESYSSPV3/3S/IecVarAccess")</f>
        <v>CODESYSSPV3/3S/IecVarAccess</v>
      </c>
      <c r="B80" s="33" t="str">
        <f>IF(CoDeSysIOs!C80=""," ","String")</f>
        <v>String</v>
      </c>
      <c r="C80" s="33" t="str">
        <f>IF(CoDeSysIOs!C80=""," ",J80&amp;""&amp;E80)</f>
        <v>|var|CODESYS Control Win V3 x64.Application.IOs.SOP722_B1</v>
      </c>
      <c r="D80" s="33" t="str">
        <f>IF(CoDeSysIOs!B80="","",CoDeSysIOs!H80)</f>
        <v>Write</v>
      </c>
      <c r="E80" s="33" t="str">
        <f>IF(CoDeSysIOs!C80=""," ",CoDeSysIOs!B80)</f>
        <v>SOP722_B1</v>
      </c>
      <c r="F80" s="33" t="str">
        <f>IF(CoDeSysIOs!D80="","",CoDeSysIOs!G80)</f>
        <v>Digital</v>
      </c>
      <c r="J80" s="70" t="s">
        <v>527</v>
      </c>
    </row>
    <row r="81" ht="14.25" customHeight="1">
      <c r="A81" s="33" t="str">
        <f>IF(CoDeSysIOs!C81=""," ","CODESYSSPV3/3S/IecVarAccess")</f>
        <v>CODESYSSPV3/3S/IecVarAccess</v>
      </c>
      <c r="B81" s="33" t="str">
        <f>IF(CoDeSysIOs!C81=""," ","String")</f>
        <v>String</v>
      </c>
      <c r="C81" s="33" t="str">
        <f>IF(CoDeSysIOs!C81=""," ",J81&amp;""&amp;E81)</f>
        <v>|var|CODESYS Control Win V3 x64.Application.IOs.SOP723_FQ1</v>
      </c>
      <c r="D81" s="33" t="str">
        <f>IF(CoDeSysIOs!B81="","",CoDeSysIOs!H81)</f>
        <v>Write</v>
      </c>
      <c r="E81" s="33" t="str">
        <f>IF(CoDeSysIOs!C81=""," ",CoDeSysIOs!B81)</f>
        <v>SOP723_FQ1</v>
      </c>
      <c r="F81" s="33" t="str">
        <f>IF(CoDeSysIOs!D81="","",CoDeSysIOs!G81)</f>
        <v>Digital</v>
      </c>
      <c r="J81" s="70" t="s">
        <v>527</v>
      </c>
    </row>
    <row r="82" ht="14.25" customHeight="1">
      <c r="A82" s="33" t="str">
        <f>IF(CoDeSysIOs!C82=""," ","CODESYSSPV3/3S/IecVarAccess")</f>
        <v>CODESYSSPV3/3S/IecVarAccess</v>
      </c>
      <c r="B82" s="33" t="str">
        <f>IF(CoDeSysIOs!C82=""," ","String")</f>
        <v>String</v>
      </c>
      <c r="C82" s="33" t="str">
        <f>IF(CoDeSysIOs!C82=""," ",J82&amp;""&amp;E82)</f>
        <v>|var|CODESYS Control Win V3 x64.Application.IOs.SOP723_B1</v>
      </c>
      <c r="D82" s="33" t="str">
        <f>IF(CoDeSysIOs!B82="","",CoDeSysIOs!H82)</f>
        <v>Write</v>
      </c>
      <c r="E82" s="33" t="str">
        <f>IF(CoDeSysIOs!C82=""," ",CoDeSysIOs!B82)</f>
        <v>SOP723_B1</v>
      </c>
      <c r="F82" s="33" t="str">
        <f>IF(CoDeSysIOs!D82="","",CoDeSysIOs!G82)</f>
        <v>Digital</v>
      </c>
      <c r="J82" s="70" t="s">
        <v>527</v>
      </c>
    </row>
    <row r="83" ht="14.25" customHeight="1">
      <c r="A83" s="33" t="str">
        <f>IF(CoDeSysIOs!C83=""," ","CODESYSSPV3/3S/IecVarAccess")</f>
        <v>CODESYSSPV3/3S/IecVarAccess</v>
      </c>
      <c r="B83" s="33" t="str">
        <f>IF(CoDeSysIOs!C83=""," ","String")</f>
        <v>String</v>
      </c>
      <c r="C83" s="33" t="str">
        <f>IF(CoDeSysIOs!C83=""," ",J83&amp;""&amp;E83)</f>
        <v>|var|CODESYS Control Win V3 x64.Application.IOs.SOP723_LC1_ON</v>
      </c>
      <c r="D83" s="33" t="str">
        <f>IF(CoDeSysIOs!B83="","",CoDeSysIOs!H83)</f>
        <v>Write</v>
      </c>
      <c r="E83" s="33" t="str">
        <f>IF(CoDeSysIOs!C83=""," ",CoDeSysIOs!B83)</f>
        <v>SOP723_LC1_ON</v>
      </c>
      <c r="F83" s="33" t="str">
        <f>IF(CoDeSysIOs!D83="","",CoDeSysIOs!G83)</f>
        <v>Digital</v>
      </c>
      <c r="J83" s="70" t="s">
        <v>527</v>
      </c>
    </row>
    <row r="84" ht="14.25" customHeight="1">
      <c r="A84" s="33" t="str">
        <f>IF(CoDeSysIOs!C84=""," ","CODESYSSPV3/3S/IecVarAccess")</f>
        <v>CODESYSSPV3/3S/IecVarAccess</v>
      </c>
      <c r="B84" s="33" t="str">
        <f>IF(CoDeSysIOs!C84=""," ","String")</f>
        <v>String</v>
      </c>
      <c r="C84" s="33" t="str">
        <f>IF(CoDeSysIOs!C84=""," ",J84&amp;""&amp;E84)</f>
        <v>|var|CODESYS Control Win V3 x64.Application.IOs.SOP723_LC2_ON</v>
      </c>
      <c r="D84" s="33" t="str">
        <f>IF(CoDeSysIOs!B84="","",CoDeSysIOs!H84)</f>
        <v>Write</v>
      </c>
      <c r="E84" s="33" t="str">
        <f>IF(CoDeSysIOs!C84=""," ",CoDeSysIOs!B84)</f>
        <v>SOP723_LC2_ON</v>
      </c>
      <c r="F84" s="33" t="str">
        <f>IF(CoDeSysIOs!D84="","",CoDeSysIOs!G84)</f>
        <v>Digital</v>
      </c>
      <c r="J84" s="70" t="s">
        <v>527</v>
      </c>
    </row>
    <row r="85" ht="14.25" customHeight="1">
      <c r="A85" s="33" t="str">
        <f>IF(CoDeSysIOs!C85=""," ","CODESYSSPV3/3S/IecVarAccess")</f>
        <v> </v>
      </c>
      <c r="B85" s="33" t="str">
        <f>IF(CoDeSysIOs!C85=""," ","String")</f>
        <v> </v>
      </c>
      <c r="C85" s="33" t="str">
        <f>IF(CoDeSysIOs!C85=""," ",J85&amp;""&amp;E85)</f>
        <v> </v>
      </c>
      <c r="D85" s="33" t="str">
        <f>IF(CoDeSysIOs!B85="","",CoDeSysIOs!H85)</f>
        <v/>
      </c>
      <c r="E85" s="33" t="str">
        <f>IF(CoDeSysIOs!C85=""," ",CoDeSysIOs!B85)</f>
        <v> </v>
      </c>
      <c r="F85" s="33" t="str">
        <f>IF(CoDeSysIOs!D85="","",CoDeSysIOs!G85)</f>
        <v/>
      </c>
      <c r="J85" s="70" t="s">
        <v>527</v>
      </c>
    </row>
    <row r="86" ht="14.25" customHeight="1">
      <c r="A86" s="33" t="str">
        <f>IF(CoDeSysIOs!C86=""," ","CODESYSSPV3/3S/IecVarAccess")</f>
        <v>CODESYSSPV3/3S/IecVarAccess</v>
      </c>
      <c r="B86" s="33" t="str">
        <f>IF(CoDeSysIOs!C86=""," ","String")</f>
        <v>String</v>
      </c>
      <c r="C86" s="33" t="str">
        <f>IF(CoDeSysIOs!C86=""," ",J86&amp;""&amp;E86)</f>
        <v>|var|CODESYS Control Win V3 x64.Application.IOs.SOP723_HMI_B1</v>
      </c>
      <c r="D86" s="33" t="str">
        <f>IF(CoDeSysIOs!B86="","",CoDeSysIOs!H86)</f>
        <v>Write</v>
      </c>
      <c r="E86" s="33" t="str">
        <f>IF(CoDeSysIOs!C86=""," ",CoDeSysIOs!B86)</f>
        <v>SOP723_HMI_B1</v>
      </c>
      <c r="F86" s="33" t="str">
        <f>IF(CoDeSysIOs!D86="","",CoDeSysIOs!G86)</f>
        <v>Digital</v>
      </c>
      <c r="J86" s="70" t="s">
        <v>527</v>
      </c>
    </row>
    <row r="87" ht="14.25" customHeight="1">
      <c r="A87" s="33" t="str">
        <f>IF(CoDeSysIOs!C87=""," ","CODESYSSPV3/3S/IecVarAccess")</f>
        <v>CODESYSSPV3/3S/IecVarAccess</v>
      </c>
      <c r="B87" s="33" t="str">
        <f>IF(CoDeSysIOs!C87=""," ","String")</f>
        <v>String</v>
      </c>
      <c r="C87" s="33" t="str">
        <f>IF(CoDeSysIOs!C87=""," ",J87&amp;""&amp;E87)</f>
        <v>|var|CODESYS Control Win V3 x64.Application.IOs.SOP720_HMI_B2</v>
      </c>
      <c r="D87" s="33" t="str">
        <f>IF(CoDeSysIOs!B87="","",CoDeSysIOs!H87)</f>
        <v>Write</v>
      </c>
      <c r="E87" s="33" t="str">
        <f>IF(CoDeSysIOs!C87=""," ",CoDeSysIOs!B87)</f>
        <v>SOP720_HMI_B2</v>
      </c>
      <c r="F87" s="33" t="str">
        <f>IF(CoDeSysIOs!D87="","",CoDeSysIOs!G87)</f>
        <v>Digital</v>
      </c>
      <c r="J87" s="70" t="s">
        <v>527</v>
      </c>
    </row>
    <row r="88" ht="14.25" customHeight="1">
      <c r="A88" s="33" t="str">
        <f>IF(CoDeSysIOs!C88=""," ","CODESYSSPV3/3S/IecVarAccess")</f>
        <v>CODESYSSPV3/3S/IecVarAccess</v>
      </c>
      <c r="B88" s="33" t="str">
        <f>IF(CoDeSysIOs!C88=""," ","String")</f>
        <v>String</v>
      </c>
      <c r="C88" s="33" t="str">
        <f>IF(CoDeSysIOs!C88=""," ",J88&amp;""&amp;E88)</f>
        <v>|var|CODESYS Control Win V3 x64.Application.IOs.SOP723_HMI_B2</v>
      </c>
      <c r="D88" s="33" t="str">
        <f>IF(CoDeSysIOs!B88="","",CoDeSysIOs!H88)</f>
        <v>Write</v>
      </c>
      <c r="E88" s="33" t="str">
        <f>IF(CoDeSysIOs!C88=""," ",CoDeSysIOs!B88)</f>
        <v>SOP723_HMI_B2</v>
      </c>
      <c r="F88" s="33" t="str">
        <f>IF(CoDeSysIOs!D88="","",CoDeSysIOs!G88)</f>
        <v>Digital</v>
      </c>
      <c r="J88" s="70" t="s">
        <v>527</v>
      </c>
    </row>
    <row r="89" ht="14.25" customHeight="1">
      <c r="A89" s="33" t="str">
        <f>IF(CoDeSysIOs!C89=""," ","CODESYSSPV3/3S/IecVarAccess")</f>
        <v> </v>
      </c>
      <c r="B89" s="33" t="str">
        <f>IF(CoDeSysIOs!C89=""," ","String")</f>
        <v> </v>
      </c>
      <c r="C89" s="33" t="str">
        <f>IF(CoDeSysIOs!C89=""," ",J89&amp;""&amp;E89)</f>
        <v> </v>
      </c>
      <c r="D89" s="33" t="str">
        <f>IF(CoDeSysIOs!B89="","",CoDeSysIOs!H89)</f>
        <v/>
      </c>
      <c r="E89" s="33" t="str">
        <f>IF(CoDeSysIOs!C89=""," ",CoDeSysIOs!B89)</f>
        <v> </v>
      </c>
      <c r="F89" s="33" t="str">
        <f>IF(CoDeSysIOs!D89="","",CoDeSysIOs!G89)</f>
        <v/>
      </c>
      <c r="J89" s="70" t="s">
        <v>527</v>
      </c>
    </row>
    <row r="90" ht="14.25" customHeight="1">
      <c r="A90" s="33" t="str">
        <f>IF(CoDeSysIOs!C90=""," ","CODESYSSPV3/3S/IecVarAccess")</f>
        <v>CODESYSSPV3/3S/IecVarAccess</v>
      </c>
      <c r="B90" s="33" t="str">
        <f>IF(CoDeSysIOs!C90=""," ","String")</f>
        <v>String</v>
      </c>
      <c r="C90" s="33" t="str">
        <f>IF(CoDeSysIOs!C90=""," ",J90&amp;""&amp;E90)</f>
        <v>|var|CODESYS Control Win V3 x64.Application.IOs.SOP720_B9</v>
      </c>
      <c r="D90" s="33" t="str">
        <f>IF(CoDeSysIOs!B90="","",CoDeSysIOs!H90)</f>
        <v>Write</v>
      </c>
      <c r="E90" s="33" t="str">
        <f>IF(CoDeSysIOs!C90=""," ",CoDeSysIOs!B90)</f>
        <v>SOP720_B9</v>
      </c>
      <c r="F90" s="33" t="str">
        <f>IF(CoDeSysIOs!D90="","",CoDeSysIOs!G90)</f>
        <v>Digital</v>
      </c>
      <c r="J90" s="70" t="s">
        <v>527</v>
      </c>
    </row>
    <row r="91" ht="14.25" customHeight="1">
      <c r="A91" s="33" t="str">
        <f>IF(CoDeSysIOs!C91=""," ","CODESYSSPV3/3S/IecVarAccess")</f>
        <v>CODESYSSPV3/3S/IecVarAccess</v>
      </c>
      <c r="B91" s="33" t="str">
        <f>IF(CoDeSysIOs!C91=""," ","String")</f>
        <v>String</v>
      </c>
      <c r="C91" s="33" t="str">
        <f>IF(CoDeSysIOs!C91=""," ",J91&amp;""&amp;E91)</f>
        <v>|var|CODESYS Control Win V3 x64.Application.IOs.SOP713_B4</v>
      </c>
      <c r="D91" s="33" t="str">
        <f>IF(CoDeSysIOs!B91="","",CoDeSysIOs!H91)</f>
        <v>Write</v>
      </c>
      <c r="E91" s="33" t="str">
        <f>IF(CoDeSysIOs!C91=""," ",CoDeSysIOs!B91)</f>
        <v>SOP713_B4</v>
      </c>
      <c r="F91" s="33" t="str">
        <f>IF(CoDeSysIOs!D91="","",CoDeSysIOs!G91)</f>
        <v>Digital</v>
      </c>
      <c r="J91" s="70" t="s">
        <v>527</v>
      </c>
    </row>
    <row r="92" ht="14.25" customHeight="1">
      <c r="A92" s="33" t="str">
        <f>IF(CoDeSysIOs!C92=""," ","CODESYSSPV3/3S/IecVarAccess")</f>
        <v>CODESYSSPV3/3S/IecVarAccess</v>
      </c>
      <c r="B92" s="33" t="str">
        <f>IF(CoDeSysIOs!C92=""," ","String")</f>
        <v>String</v>
      </c>
      <c r="C92" s="33" t="str">
        <f>IF(CoDeSysIOs!C92=""," ",J92&amp;""&amp;E92)</f>
        <v>|var|CODESYS Control Win V3 x64.Application.IOs.SOP713_B5</v>
      </c>
      <c r="D92" s="33" t="str">
        <f>IF(CoDeSysIOs!B92="","",CoDeSysIOs!H92)</f>
        <v>Write</v>
      </c>
      <c r="E92" s="33" t="str">
        <f>IF(CoDeSysIOs!C92=""," ",CoDeSysIOs!B92)</f>
        <v>SOP713_B5</v>
      </c>
      <c r="F92" s="33" t="str">
        <f>IF(CoDeSysIOs!D92="","",CoDeSysIOs!G92)</f>
        <v>Digital</v>
      </c>
      <c r="J92" s="70" t="s">
        <v>527</v>
      </c>
    </row>
    <row r="93" ht="14.25" customHeight="1">
      <c r="A93" s="33" t="str">
        <f>IF(CoDeSysIOs!C93=""," ","CODESYSSPV3/3S/IecVarAccess")</f>
        <v>CODESYSSPV3/3S/IecVarAccess</v>
      </c>
      <c r="B93" s="33" t="str">
        <f>IF(CoDeSysIOs!C93=""," ","String")</f>
        <v>String</v>
      </c>
      <c r="C93" s="33" t="str">
        <f>IF(CoDeSysIOs!C93=""," ",J93&amp;""&amp;E93)</f>
        <v>|var|CODESYS Control Win V3 x64.Application.IOs.SOP730_B4</v>
      </c>
      <c r="D93" s="33" t="str">
        <f>IF(CoDeSysIOs!B93="","",CoDeSysIOs!H93)</f>
        <v>Write</v>
      </c>
      <c r="E93" s="33" t="str">
        <f>IF(CoDeSysIOs!C93=""," ",CoDeSysIOs!B93)</f>
        <v>SOP730_B4</v>
      </c>
      <c r="F93" s="33" t="str">
        <f>IF(CoDeSysIOs!D93="","",CoDeSysIOs!G93)</f>
        <v>Digital</v>
      </c>
      <c r="J93" s="70" t="s">
        <v>527</v>
      </c>
    </row>
    <row r="94" ht="14.25" customHeight="1">
      <c r="A94" s="33" t="str">
        <f>IF(CoDeSysIOs!C94=""," ","CODESYSSPV3/3S/IecVarAccess")</f>
        <v>CODESYSSPV3/3S/IecVarAccess</v>
      </c>
      <c r="B94" s="33" t="str">
        <f>IF(CoDeSysIOs!C94=""," ","String")</f>
        <v>String</v>
      </c>
      <c r="C94" s="33" t="str">
        <f>IF(CoDeSysIOs!C94=""," ",J94&amp;""&amp;E94)</f>
        <v>|var|CODESYS Control Win V3 x64.Application.IOs.SOP730_B5</v>
      </c>
      <c r="D94" s="33" t="str">
        <f>IF(CoDeSysIOs!B94="","",CoDeSysIOs!H94)</f>
        <v>Write</v>
      </c>
      <c r="E94" s="33" t="str">
        <f>IF(CoDeSysIOs!C94=""," ",CoDeSysIOs!B94)</f>
        <v>SOP730_B5</v>
      </c>
      <c r="F94" s="33" t="str">
        <f>IF(CoDeSysIOs!D94="","",CoDeSysIOs!G94)</f>
        <v>Digital</v>
      </c>
      <c r="J94" s="70" t="s">
        <v>527</v>
      </c>
    </row>
    <row r="95" ht="14.25" customHeight="1">
      <c r="A95" s="33" t="str">
        <f>IF(CoDeSysIOs!C95=""," ","CODESYSSPV3/3S/IecVarAccess")</f>
        <v> </v>
      </c>
      <c r="B95" s="33" t="str">
        <f>IF(CoDeSysIOs!C95=""," ","String")</f>
        <v> </v>
      </c>
      <c r="C95" s="33" t="str">
        <f>IF(CoDeSysIOs!C95=""," ",J95&amp;""&amp;E95)</f>
        <v> </v>
      </c>
      <c r="D95" s="33" t="str">
        <f>IF(CoDeSysIOs!B95="","",CoDeSysIOs!H95)</f>
        <v/>
      </c>
      <c r="E95" s="33" t="str">
        <f>IF(CoDeSysIOs!C95=""," ",CoDeSysIOs!B95)</f>
        <v> </v>
      </c>
      <c r="F95" s="33" t="str">
        <f>IF(CoDeSysIOs!D95="","",CoDeSysIOs!G95)</f>
        <v/>
      </c>
      <c r="J95" s="70" t="s">
        <v>527</v>
      </c>
    </row>
    <row r="96" ht="14.25" customHeight="1">
      <c r="A96" s="33" t="str">
        <f>IF(CoDeSysIOs!C96=""," ","CODESYSSPV3/3S/IecVarAccess")</f>
        <v> </v>
      </c>
      <c r="B96" s="33" t="str">
        <f>IF(CoDeSysIOs!C96=""," ","String")</f>
        <v> </v>
      </c>
      <c r="C96" s="33" t="str">
        <f>IF(CoDeSysIOs!C96=""," ",J96&amp;""&amp;E96)</f>
        <v> </v>
      </c>
      <c r="D96" s="33" t="str">
        <f>IF(CoDeSysIOs!B96="","",CoDeSysIOs!H96)</f>
        <v/>
      </c>
      <c r="E96" s="33" t="str">
        <f>IF(CoDeSysIOs!C96=""," ",CoDeSysIOs!B96)</f>
        <v> </v>
      </c>
      <c r="F96" s="33" t="str">
        <f>IF(CoDeSysIOs!D96="","",CoDeSysIOs!G96)</f>
        <v/>
      </c>
      <c r="J96" s="70" t="s">
        <v>527</v>
      </c>
    </row>
    <row r="97" ht="14.25" customHeight="1">
      <c r="A97" s="33" t="str">
        <f>IF(CoDeSysIOs!C97=""," ","CODESYSSPV3/3S/IecVarAccess")</f>
        <v> </v>
      </c>
      <c r="B97" s="33" t="str">
        <f>IF(CoDeSysIOs!C97=""," ","String")</f>
        <v> </v>
      </c>
      <c r="C97" s="33" t="str">
        <f>IF(CoDeSysIOs!C97=""," ",J97&amp;""&amp;E97)</f>
        <v> </v>
      </c>
      <c r="D97" s="33" t="str">
        <f>IF(CoDeSysIOs!B97="","",CoDeSysIOs!H97)</f>
        <v/>
      </c>
      <c r="E97" s="33" t="str">
        <f>IF(CoDeSysIOs!C97=""," ",CoDeSysIOs!B97)</f>
        <v> </v>
      </c>
      <c r="F97" s="33" t="str">
        <f>IF(CoDeSysIOs!D97="","",CoDeSysIOs!G97)</f>
        <v/>
      </c>
      <c r="J97" s="70" t="s">
        <v>527</v>
      </c>
    </row>
    <row r="98" ht="14.25" customHeight="1">
      <c r="A98" s="33" t="str">
        <f>IF(CoDeSysIOs!C98=""," ","CODESYSSPV3/3S/IecVarAccess")</f>
        <v> </v>
      </c>
      <c r="B98" s="33" t="str">
        <f>IF(CoDeSysIOs!C98=""," ","String")</f>
        <v> </v>
      </c>
      <c r="C98" s="33" t="str">
        <f>IF(CoDeSysIOs!C98=""," ",J98&amp;""&amp;E98)</f>
        <v> </v>
      </c>
      <c r="D98" s="33" t="str">
        <f>IF(CoDeSysIOs!B98="","",CoDeSysIOs!H98)</f>
        <v/>
      </c>
      <c r="E98" s="33" t="str">
        <f>IF(CoDeSysIOs!C98=""," ",CoDeSysIOs!B98)</f>
        <v> </v>
      </c>
      <c r="F98" s="33" t="str">
        <f>IF(CoDeSysIOs!D98="","",CoDeSysIOs!G98)</f>
        <v/>
      </c>
      <c r="J98" s="70" t="s">
        <v>527</v>
      </c>
    </row>
    <row r="99" ht="14.25" customHeight="1">
      <c r="A99" s="33" t="str">
        <f>IF(CoDeSysIOs!C99=""," ","CODESYSSPV3/3S/IecVarAccess")</f>
        <v> </v>
      </c>
      <c r="B99" s="33" t="str">
        <f>IF(CoDeSysIOs!C99=""," ","String")</f>
        <v> </v>
      </c>
      <c r="C99" s="33" t="str">
        <f>IF(CoDeSysIOs!C99=""," ",J99&amp;""&amp;E99)</f>
        <v> </v>
      </c>
      <c r="D99" s="33" t="str">
        <f>IF(CoDeSysIOs!B99="","",CoDeSysIOs!H99)</f>
        <v/>
      </c>
      <c r="E99" s="33" t="str">
        <f>IF(CoDeSysIOs!C99=""," ",CoDeSysIOs!B99)</f>
        <v> </v>
      </c>
      <c r="F99" s="33" t="str">
        <f>IF(CoDeSysIOs!D99="","",CoDeSysIOs!G99)</f>
        <v/>
      </c>
      <c r="J99" s="70" t="s">
        <v>527</v>
      </c>
    </row>
    <row r="100" ht="14.25" customHeight="1">
      <c r="A100" s="33" t="str">
        <f>IF(CoDeSysIOs!C100=""," ","CODESYSSPV3/3S/IecVarAccess")</f>
        <v> </v>
      </c>
      <c r="B100" s="33" t="str">
        <f>IF(CoDeSysIOs!C100=""," ","String")</f>
        <v> </v>
      </c>
      <c r="C100" s="33" t="str">
        <f>IF(CoDeSysIOs!C100=""," ",J100&amp;""&amp;E100)</f>
        <v> </v>
      </c>
      <c r="D100" s="33" t="str">
        <f>IF(CoDeSysIOs!B100="","",CoDeSysIOs!H100)</f>
        <v/>
      </c>
      <c r="E100" s="33" t="str">
        <f>IF(CoDeSysIOs!C100=""," ",CoDeSysIOs!B100)</f>
        <v> </v>
      </c>
      <c r="F100" s="33" t="str">
        <f>IF(CoDeSysIOs!D100="","",CoDeSysIOs!G100)</f>
        <v/>
      </c>
      <c r="J100" s="70" t="s">
        <v>527</v>
      </c>
    </row>
    <row r="101" ht="14.25" customHeight="1">
      <c r="A101" s="33" t="str">
        <f>IF(CoDeSysIOs!C101=""," ","CODESYSSPV3/3S/IecVarAccess")</f>
        <v> </v>
      </c>
      <c r="B101" s="33" t="str">
        <f>IF(CoDeSysIOs!C101=""," ","String")</f>
        <v> </v>
      </c>
      <c r="C101" s="33" t="str">
        <f>IF(CoDeSysIOs!C101=""," ",J101&amp;""&amp;E101)</f>
        <v> </v>
      </c>
      <c r="D101" s="33" t="str">
        <f>IF(CoDeSysIOs!B101="","",CoDeSysIOs!H101)</f>
        <v/>
      </c>
      <c r="E101" s="33" t="str">
        <f>IF(CoDeSysIOs!C101=""," ",CoDeSysIOs!B101)</f>
        <v> </v>
      </c>
      <c r="F101" s="33" t="str">
        <f>IF(CoDeSysIOs!D101="","",CoDeSysIOs!G101)</f>
        <v/>
      </c>
      <c r="J101" s="70" t="s">
        <v>527</v>
      </c>
    </row>
    <row r="102" ht="14.25" customHeight="1">
      <c r="A102" s="33" t="str">
        <f>IF(CoDeSysIOs!C102=""," ","CODESYSSPV3/3S/IecVarAccess")</f>
        <v> </v>
      </c>
      <c r="B102" s="33" t="str">
        <f>IF(CoDeSysIOs!C102=""," ","String")</f>
        <v> </v>
      </c>
      <c r="C102" s="33" t="str">
        <f>IF(CoDeSysIOs!C102=""," ",J102&amp;""&amp;E102)</f>
        <v> </v>
      </c>
      <c r="D102" s="33" t="str">
        <f>IF(CoDeSysIOs!B102="","",CoDeSysIOs!H102)</f>
        <v/>
      </c>
      <c r="E102" s="33" t="str">
        <f>IF(CoDeSysIOs!C102=""," ",CoDeSysIOs!B102)</f>
        <v> </v>
      </c>
      <c r="F102" s="33" t="str">
        <f>IF(CoDeSysIOs!D102="","",CoDeSysIOs!G102)</f>
        <v/>
      </c>
      <c r="J102" s="70" t="s">
        <v>527</v>
      </c>
    </row>
    <row r="103" ht="14.25" customHeight="1">
      <c r="A103" s="33" t="str">
        <f>IF(CoDeSysIOs!C103=""," ","CODESYSSPV3/3S/IecVarAccess")</f>
        <v> </v>
      </c>
      <c r="B103" s="33" t="str">
        <f>IF(CoDeSysIOs!C103=""," ","String")</f>
        <v> </v>
      </c>
      <c r="C103" s="33" t="str">
        <f>IF(CoDeSysIOs!C103=""," ",J103&amp;""&amp;E103)</f>
        <v> </v>
      </c>
      <c r="D103" s="33" t="str">
        <f>IF(CoDeSysIOs!B103="","",CoDeSysIOs!H103)</f>
        <v/>
      </c>
      <c r="E103" s="33" t="str">
        <f>IF(CoDeSysIOs!C103=""," ",CoDeSysIOs!B103)</f>
        <v> </v>
      </c>
      <c r="F103" s="33" t="str">
        <f>IF(CoDeSysIOs!D103="","",CoDeSysIOs!G103)</f>
        <v/>
      </c>
      <c r="J103" s="70" t="s">
        <v>527</v>
      </c>
    </row>
    <row r="104" ht="14.25" customHeight="1">
      <c r="A104" s="33" t="str">
        <f>IF(CoDeSysIOs!C104=""," ","CODESYSSPV3/3S/IecVarAccess")</f>
        <v> </v>
      </c>
      <c r="B104" s="33" t="str">
        <f>IF(CoDeSysIOs!C104=""," ","String")</f>
        <v> </v>
      </c>
      <c r="C104" s="33" t="str">
        <f>IF(CoDeSysIOs!C104=""," ",J104&amp;""&amp;E104)</f>
        <v> </v>
      </c>
      <c r="D104" s="33" t="str">
        <f>IF(CoDeSysIOs!B104="","",CoDeSysIOs!H104)</f>
        <v/>
      </c>
      <c r="E104" s="33" t="str">
        <f>IF(CoDeSysIOs!C104=""," ",CoDeSysIOs!B104)</f>
        <v> </v>
      </c>
      <c r="F104" s="33" t="str">
        <f>IF(CoDeSysIOs!D104="","",CoDeSysIOs!G104)</f>
        <v/>
      </c>
      <c r="J104" s="70" t="s">
        <v>527</v>
      </c>
    </row>
    <row r="105" ht="14.25" customHeight="1">
      <c r="A105" s="33" t="str">
        <f>IF(CoDeSysIOs!C105=""," ","CODESYSSPV3/3S/IecVarAccess")</f>
        <v> </v>
      </c>
      <c r="B105" s="33" t="str">
        <f>IF(CoDeSysIOs!C105=""," ","String")</f>
        <v> </v>
      </c>
      <c r="C105" s="33" t="str">
        <f>IF(CoDeSysIOs!C105=""," ",J105&amp;""&amp;E105)</f>
        <v> </v>
      </c>
      <c r="D105" s="33" t="str">
        <f>IF(CoDeSysIOs!B105="","",CoDeSysIOs!H105)</f>
        <v/>
      </c>
      <c r="E105" s="33" t="str">
        <f>IF(CoDeSysIOs!C105=""," ",CoDeSysIOs!B105)</f>
        <v> </v>
      </c>
      <c r="F105" s="33" t="str">
        <f>IF(CoDeSysIOs!D105="","",CoDeSysIOs!G105)</f>
        <v/>
      </c>
      <c r="J105" s="70" t="s">
        <v>527</v>
      </c>
    </row>
    <row r="106" ht="14.25" customHeight="1">
      <c r="A106" s="33" t="str">
        <f>IF(CoDeSysIOs!C106=""," ","CODESYSSPV3/3S/IecVarAccess")</f>
        <v> </v>
      </c>
      <c r="B106" s="33" t="str">
        <f>IF(CoDeSysIOs!C106=""," ","String")</f>
        <v> </v>
      </c>
      <c r="C106" s="33" t="str">
        <f>IF(CoDeSysIOs!C106=""," ",J106&amp;""&amp;E106)</f>
        <v> </v>
      </c>
      <c r="D106" s="33" t="str">
        <f>IF(CoDeSysIOs!B106="","",CoDeSysIOs!H106)</f>
        <v/>
      </c>
      <c r="E106" s="33" t="str">
        <f>IF(CoDeSysIOs!C106=""," ",CoDeSysIOs!B106)</f>
        <v> </v>
      </c>
      <c r="F106" s="33" t="str">
        <f>IF(CoDeSysIOs!D106="","",CoDeSysIOs!G106)</f>
        <v/>
      </c>
      <c r="J106" s="70" t="s">
        <v>527</v>
      </c>
    </row>
    <row r="107" ht="14.25" customHeight="1">
      <c r="A107" s="33" t="str">
        <f>IF(CoDeSysIOs!C107=""," ","CODESYSSPV3/3S/IecVarAccess")</f>
        <v> </v>
      </c>
      <c r="B107" s="33" t="str">
        <f>IF(CoDeSysIOs!C107=""," ","String")</f>
        <v> </v>
      </c>
      <c r="C107" s="33" t="str">
        <f>IF(CoDeSysIOs!C107=""," ",J107&amp;""&amp;E107)</f>
        <v> </v>
      </c>
      <c r="D107" s="33" t="str">
        <f>IF(CoDeSysIOs!B107="","",CoDeSysIOs!H107)</f>
        <v/>
      </c>
      <c r="E107" s="33" t="str">
        <f>IF(CoDeSysIOs!C107=""," ",CoDeSysIOs!B107)</f>
        <v> </v>
      </c>
      <c r="F107" s="33" t="str">
        <f>IF(CoDeSysIOs!D107="","",CoDeSysIOs!G107)</f>
        <v/>
      </c>
      <c r="J107" s="70" t="s">
        <v>527</v>
      </c>
    </row>
    <row r="108" ht="14.25" customHeight="1">
      <c r="A108" s="33" t="str">
        <f>IF(CoDeSysIOs!C108=""," ","CODESYSSPV3/3S/IecVarAccess")</f>
        <v> </v>
      </c>
      <c r="B108" s="33" t="str">
        <f>IF(CoDeSysIOs!C108=""," ","String")</f>
        <v> </v>
      </c>
      <c r="C108" s="33" t="str">
        <f>IF(CoDeSysIOs!C108=""," ",J108&amp;""&amp;E108)</f>
        <v> </v>
      </c>
      <c r="D108" s="33" t="str">
        <f>IF(CoDeSysIOs!B108="","",CoDeSysIOs!H108)</f>
        <v/>
      </c>
      <c r="E108" s="33" t="str">
        <f>IF(CoDeSysIOs!C108=""," ",CoDeSysIOs!B108)</f>
        <v> </v>
      </c>
      <c r="F108" s="33" t="str">
        <f>IF(CoDeSysIOs!D108="","",CoDeSysIOs!G108)</f>
        <v/>
      </c>
      <c r="J108" s="70" t="s">
        <v>527</v>
      </c>
    </row>
    <row r="109" ht="14.25" customHeight="1">
      <c r="A109" s="33" t="str">
        <f>IF(CoDeSysIOs!C109=""," ","CODESYSSPV3/3S/IecVarAccess")</f>
        <v> </v>
      </c>
      <c r="B109" s="33" t="str">
        <f>IF(CoDeSysIOs!C109=""," ","String")</f>
        <v> </v>
      </c>
      <c r="C109" s="33" t="str">
        <f>IF(CoDeSysIOs!C109=""," ",J109&amp;""&amp;E109)</f>
        <v> </v>
      </c>
      <c r="D109" s="33" t="str">
        <f>IF(CoDeSysIOs!B109="","",CoDeSysIOs!H109)</f>
        <v/>
      </c>
      <c r="E109" s="33" t="str">
        <f>IF(CoDeSysIOs!C109=""," ",CoDeSysIOs!B109)</f>
        <v> </v>
      </c>
      <c r="F109" s="33" t="str">
        <f>IF(CoDeSysIOs!D109="","",CoDeSysIOs!G109)</f>
        <v/>
      </c>
      <c r="J109" s="70" t="s">
        <v>527</v>
      </c>
    </row>
    <row r="110" ht="14.25" customHeight="1">
      <c r="A110" s="33" t="str">
        <f>IF(CoDeSysIOs!C110=""," ","CODESYSSPV3/3S/IecVarAccess")</f>
        <v> </v>
      </c>
      <c r="B110" s="33" t="str">
        <f>IF(CoDeSysIOs!C110=""," ","String")</f>
        <v> </v>
      </c>
      <c r="C110" s="33" t="str">
        <f>IF(CoDeSysIOs!C110=""," ",J110&amp;""&amp;E110)</f>
        <v> </v>
      </c>
      <c r="D110" s="33" t="str">
        <f>IF(CoDeSysIOs!B110="","",CoDeSysIOs!H110)</f>
        <v/>
      </c>
      <c r="E110" s="33" t="str">
        <f>IF(CoDeSysIOs!C110=""," ",CoDeSysIOs!B110)</f>
        <v> </v>
      </c>
      <c r="F110" s="33" t="str">
        <f>IF(CoDeSysIOs!D110="","",CoDeSysIOs!G110)</f>
        <v/>
      </c>
      <c r="J110" s="70" t="s">
        <v>527</v>
      </c>
    </row>
    <row r="111" ht="14.25" customHeight="1">
      <c r="A111" s="33" t="str">
        <f>IF(CoDeSysIOs!C111=""," ","CODESYSSPV3/3S/IecVarAccess")</f>
        <v> </v>
      </c>
      <c r="B111" s="33" t="str">
        <f>IF(CoDeSysIOs!C111=""," ","String")</f>
        <v> </v>
      </c>
      <c r="C111" s="33" t="str">
        <f>IF(CoDeSysIOs!C111=""," ",J111&amp;""&amp;E111)</f>
        <v> </v>
      </c>
      <c r="D111" s="33" t="str">
        <f>IF(CoDeSysIOs!B111="","",CoDeSysIOs!H111)</f>
        <v/>
      </c>
      <c r="E111" s="33" t="str">
        <f>IF(CoDeSysIOs!C111=""," ",CoDeSysIOs!B111)</f>
        <v> </v>
      </c>
      <c r="F111" s="33" t="str">
        <f>IF(CoDeSysIOs!D111="","",CoDeSysIOs!G111)</f>
        <v/>
      </c>
      <c r="J111" s="70" t="s">
        <v>527</v>
      </c>
    </row>
    <row r="112" ht="14.25" customHeight="1">
      <c r="A112" s="33" t="str">
        <f>IF(CoDeSysIOs!C112=""," ","CODESYSSPV3/3S/IecVarAccess")</f>
        <v> </v>
      </c>
      <c r="B112" s="33" t="str">
        <f>IF(CoDeSysIOs!C112=""," ","String")</f>
        <v> </v>
      </c>
      <c r="C112" s="33" t="str">
        <f>IF(CoDeSysIOs!C112=""," ",J112&amp;""&amp;E112)</f>
        <v> </v>
      </c>
      <c r="D112" s="33" t="str">
        <f>IF(CoDeSysIOs!B112="","",CoDeSysIOs!H112)</f>
        <v/>
      </c>
      <c r="E112" s="33" t="str">
        <f>IF(CoDeSysIOs!C112=""," ",CoDeSysIOs!B112)</f>
        <v> </v>
      </c>
      <c r="F112" s="33" t="str">
        <f>IF(CoDeSysIOs!D112="","",CoDeSysIOs!G112)</f>
        <v/>
      </c>
      <c r="J112" s="70" t="s">
        <v>527</v>
      </c>
    </row>
    <row r="113" ht="14.25" customHeight="1">
      <c r="A113" s="33" t="str">
        <f>IF(CoDeSysIOs!C113=""," ","CODESYSSPV3/3S/IecVarAccess")</f>
        <v> </v>
      </c>
      <c r="B113" s="33" t="str">
        <f>IF(CoDeSysIOs!C113=""," ","String")</f>
        <v> </v>
      </c>
      <c r="C113" s="33" t="str">
        <f>IF(CoDeSysIOs!C113=""," ",J113&amp;""&amp;E113)</f>
        <v> </v>
      </c>
      <c r="D113" s="33" t="str">
        <f>IF(CoDeSysIOs!B113="","",CoDeSysIOs!H113)</f>
        <v/>
      </c>
      <c r="E113" s="33" t="str">
        <f>IF(CoDeSysIOs!C113=""," ",CoDeSysIOs!B113)</f>
        <v> </v>
      </c>
      <c r="F113" s="33" t="str">
        <f>IF(CoDeSysIOs!D113="","",CoDeSysIOs!G113)</f>
        <v/>
      </c>
      <c r="J113" s="70" t="s">
        <v>527</v>
      </c>
    </row>
    <row r="114" ht="14.25" customHeight="1">
      <c r="A114" s="33" t="str">
        <f>IF(CoDeSysIOs!C114=""," ","CODESYSSPV3/3S/IecVarAccess")</f>
        <v> </v>
      </c>
      <c r="B114" s="33" t="str">
        <f>IF(CoDeSysIOs!C114=""," ","String")</f>
        <v> </v>
      </c>
      <c r="C114" s="33" t="str">
        <f>IF(CoDeSysIOs!C114=""," ",J114&amp;""&amp;E114)</f>
        <v> </v>
      </c>
      <c r="D114" s="33" t="str">
        <f>IF(CoDeSysIOs!B114="","",CoDeSysIOs!H114)</f>
        <v/>
      </c>
      <c r="E114" s="33" t="str">
        <f>IF(CoDeSysIOs!C114=""," ",CoDeSysIOs!B114)</f>
        <v> </v>
      </c>
      <c r="F114" s="33" t="str">
        <f>IF(CoDeSysIOs!D114="","",CoDeSysIOs!G114)</f>
        <v/>
      </c>
      <c r="J114" s="70" t="s">
        <v>527</v>
      </c>
    </row>
    <row r="115" ht="14.25" customHeight="1">
      <c r="A115" s="33" t="str">
        <f>IF(CoDeSysIOs!C115=""," ","CODESYSSPV3/3S/IecVarAccess")</f>
        <v> </v>
      </c>
      <c r="B115" s="33" t="str">
        <f>IF(CoDeSysIOs!C115=""," ","String")</f>
        <v> </v>
      </c>
      <c r="C115" s="33" t="str">
        <f>IF(CoDeSysIOs!C115=""," ",J115&amp;""&amp;E115)</f>
        <v> </v>
      </c>
      <c r="D115" s="33" t="str">
        <f>IF(CoDeSysIOs!B115="","",CoDeSysIOs!H115)</f>
        <v/>
      </c>
      <c r="E115" s="33" t="str">
        <f>IF(CoDeSysIOs!C115=""," ",CoDeSysIOs!B115)</f>
        <v> </v>
      </c>
      <c r="F115" s="33" t="str">
        <f>IF(CoDeSysIOs!D115="","",CoDeSysIOs!G115)</f>
        <v/>
      </c>
      <c r="J115" s="70" t="s">
        <v>527</v>
      </c>
    </row>
    <row r="116" ht="14.25" customHeight="1">
      <c r="A116" s="33" t="str">
        <f>IF(CoDeSysIOs!C116=""," ","CODESYSSPV3/3S/IecVarAccess")</f>
        <v> </v>
      </c>
      <c r="B116" s="33" t="str">
        <f>IF(CoDeSysIOs!C116=""," ","String")</f>
        <v> </v>
      </c>
      <c r="C116" s="33" t="str">
        <f>IF(CoDeSysIOs!C116=""," ",J116&amp;""&amp;E116)</f>
        <v> </v>
      </c>
      <c r="D116" s="33" t="str">
        <f>IF(CoDeSysIOs!B116="","",CoDeSysIOs!H116)</f>
        <v/>
      </c>
      <c r="E116" s="33" t="str">
        <f>IF(CoDeSysIOs!C116=""," ",CoDeSysIOs!B116)</f>
        <v> </v>
      </c>
      <c r="F116" s="33" t="str">
        <f>IF(CoDeSysIOs!D116="","",CoDeSysIOs!G116)</f>
        <v/>
      </c>
      <c r="J116" s="70" t="s">
        <v>527</v>
      </c>
    </row>
    <row r="117" ht="14.25" customHeight="1">
      <c r="A117" s="33" t="str">
        <f>IF(CoDeSysIOs!C117=""," ","CODESYSSPV3/3S/IecVarAccess")</f>
        <v> </v>
      </c>
      <c r="B117" s="33" t="str">
        <f>IF(CoDeSysIOs!C117=""," ","String")</f>
        <v> </v>
      </c>
      <c r="C117" s="33" t="str">
        <f>IF(CoDeSysIOs!C117=""," ",J117&amp;""&amp;E117)</f>
        <v> </v>
      </c>
      <c r="D117" s="33" t="str">
        <f>IF(CoDeSysIOs!B117="","",CoDeSysIOs!H117)</f>
        <v/>
      </c>
      <c r="E117" s="33" t="str">
        <f>IF(CoDeSysIOs!C117=""," ",CoDeSysIOs!B117)</f>
        <v> </v>
      </c>
      <c r="F117" s="33" t="str">
        <f>IF(CoDeSysIOs!D117="","",CoDeSysIOs!G117)</f>
        <v/>
      </c>
      <c r="J117" s="70" t="s">
        <v>527</v>
      </c>
    </row>
    <row r="118" ht="14.25" customHeight="1">
      <c r="A118" s="33" t="str">
        <f>IF(CoDeSysIOs!C118=""," ","CODESYSSPV3/3S/IecVarAccess")</f>
        <v> </v>
      </c>
      <c r="B118" s="33" t="str">
        <f>IF(CoDeSysIOs!C118=""," ","String")</f>
        <v> </v>
      </c>
      <c r="C118" s="33" t="str">
        <f>IF(CoDeSysIOs!C118=""," ",J118&amp;""&amp;E118)</f>
        <v> </v>
      </c>
      <c r="D118" s="33" t="str">
        <f>IF(CoDeSysIOs!B118="","",CoDeSysIOs!H118)</f>
        <v/>
      </c>
      <c r="E118" s="33" t="str">
        <f>IF(CoDeSysIOs!C118=""," ",CoDeSysIOs!B118)</f>
        <v> </v>
      </c>
      <c r="F118" s="33" t="str">
        <f>IF(CoDeSysIOs!D118="","",CoDeSysIOs!G118)</f>
        <v/>
      </c>
      <c r="J118" s="70" t="s">
        <v>527</v>
      </c>
    </row>
    <row r="119" ht="14.25" customHeight="1">
      <c r="A119" s="33" t="str">
        <f>IF(CoDeSysIOs!C119=""," ","CODESYSSPV3/3S/IecVarAccess")</f>
        <v> </v>
      </c>
      <c r="B119" s="33" t="str">
        <f>IF(CoDeSysIOs!C119=""," ","String")</f>
        <v> </v>
      </c>
      <c r="C119" s="33" t="str">
        <f>IF(CoDeSysIOs!C119=""," ",J119&amp;""&amp;E119)</f>
        <v> </v>
      </c>
      <c r="D119" s="33" t="str">
        <f>IF(CoDeSysIOs!B119="","",CoDeSysIOs!H119)</f>
        <v/>
      </c>
      <c r="E119" s="33" t="str">
        <f>IF(CoDeSysIOs!C119=""," ",CoDeSysIOs!B119)</f>
        <v> </v>
      </c>
      <c r="F119" s="33" t="str">
        <f>IF(CoDeSysIOs!D119="","",CoDeSysIOs!G119)</f>
        <v/>
      </c>
      <c r="J119" s="70" t="s">
        <v>527</v>
      </c>
    </row>
    <row r="120" ht="14.25" customHeight="1">
      <c r="A120" s="33" t="str">
        <f>IF(CoDeSysIOs!C120=""," ","CODESYSSPV3/3S/IecVarAccess")</f>
        <v> </v>
      </c>
      <c r="B120" s="33" t="str">
        <f>IF(CoDeSysIOs!C120=""," ","String")</f>
        <v> </v>
      </c>
      <c r="C120" s="33" t="str">
        <f>IF(CoDeSysIOs!C120=""," ",J120&amp;""&amp;E120)</f>
        <v> </v>
      </c>
      <c r="D120" s="33" t="str">
        <f>IF(CoDeSysIOs!B120="","",CoDeSysIOs!H120)</f>
        <v/>
      </c>
      <c r="E120" s="33" t="str">
        <f>IF(CoDeSysIOs!C120=""," ",CoDeSysIOs!B120)</f>
        <v> </v>
      </c>
      <c r="F120" s="33" t="str">
        <f>IF(CoDeSysIOs!D120="","",CoDeSysIOs!G120)</f>
        <v/>
      </c>
      <c r="J120" s="70" t="s">
        <v>527</v>
      </c>
    </row>
    <row r="121" ht="14.25" customHeight="1">
      <c r="A121" s="33" t="str">
        <f>IF(CoDeSysIOs!C121=""," ","CODESYSSPV3/3S/IecVarAccess")</f>
        <v> </v>
      </c>
      <c r="B121" s="33" t="str">
        <f>IF(CoDeSysIOs!C121=""," ","String")</f>
        <v> </v>
      </c>
      <c r="C121" s="33" t="str">
        <f>IF(CoDeSysIOs!C121=""," ",J121&amp;""&amp;E121)</f>
        <v> </v>
      </c>
      <c r="D121" s="33" t="str">
        <f>IF(CoDeSysIOs!B121="","",CoDeSysIOs!H121)</f>
        <v/>
      </c>
      <c r="E121" s="33" t="str">
        <f>IF(CoDeSysIOs!C121=""," ",CoDeSysIOs!B121)</f>
        <v> </v>
      </c>
      <c r="F121" s="33" t="str">
        <f>IF(CoDeSysIOs!D121="","",CoDeSysIOs!G121)</f>
        <v/>
      </c>
      <c r="J121" s="70" t="s">
        <v>527</v>
      </c>
    </row>
    <row r="122" ht="14.25" customHeight="1">
      <c r="A122" s="33" t="str">
        <f>IF(CoDeSysIOs!C122=""," ","CODESYSSPV3/3S/IecVarAccess")</f>
        <v> </v>
      </c>
      <c r="B122" s="33" t="str">
        <f>IF(CoDeSysIOs!C122=""," ","String")</f>
        <v> </v>
      </c>
      <c r="C122" s="33" t="str">
        <f>IF(CoDeSysIOs!C122=""," ",J122&amp;""&amp;E122)</f>
        <v> </v>
      </c>
      <c r="D122" s="33" t="str">
        <f>IF(CoDeSysIOs!B122="","",CoDeSysIOs!H122)</f>
        <v/>
      </c>
      <c r="E122" s="33" t="str">
        <f>IF(CoDeSysIOs!C122=""," ",CoDeSysIOs!B122)</f>
        <v> </v>
      </c>
      <c r="F122" s="33" t="str">
        <f>IF(CoDeSysIOs!D122="","",CoDeSysIOs!G122)</f>
        <v/>
      </c>
      <c r="J122" s="70" t="s">
        <v>527</v>
      </c>
    </row>
    <row r="123" ht="14.25" customHeight="1">
      <c r="A123" s="33" t="str">
        <f>IF(CoDeSysIOs!C123=""," ","CODESYSSPV3/3S/IecVarAccess")</f>
        <v> </v>
      </c>
      <c r="B123" s="33" t="str">
        <f>IF(CoDeSysIOs!C123=""," ","String")</f>
        <v> </v>
      </c>
      <c r="C123" s="33" t="str">
        <f>IF(CoDeSysIOs!C123=""," ",J123&amp;""&amp;E123)</f>
        <v> </v>
      </c>
      <c r="D123" s="33" t="str">
        <f>IF(CoDeSysIOs!B123="","",CoDeSysIOs!H123)</f>
        <v/>
      </c>
      <c r="E123" s="33" t="str">
        <f>IF(CoDeSysIOs!C123=""," ",CoDeSysIOs!B123)</f>
        <v> </v>
      </c>
      <c r="F123" s="33" t="str">
        <f>IF(CoDeSysIOs!D123="","",CoDeSysIOs!G123)</f>
        <v/>
      </c>
      <c r="J123" s="70" t="s">
        <v>527</v>
      </c>
    </row>
    <row r="124" ht="14.25" customHeight="1">
      <c r="A124" s="33" t="str">
        <f>IF(CoDeSysIOs!C124=""," ","CODESYSSPV3/3S/IecVarAccess")</f>
        <v>CODESYSSPV3/3S/IecVarAccess</v>
      </c>
      <c r="B124" s="33" t="str">
        <f>IF(CoDeSysIOs!C124=""," ","String")</f>
        <v>String</v>
      </c>
      <c r="C124" s="33" t="str">
        <f>IF(CoDeSysIOs!C124=""," ",J124&amp;""&amp;E124)</f>
        <v>|var|CODESYS Control Win V3 x64.Application.IOs.SOP710_KM1</v>
      </c>
      <c r="D124" s="33" t="str">
        <f>IF(CoDeSysIOs!B124="","",CoDeSysIOs!H124)</f>
        <v>Read</v>
      </c>
      <c r="E124" s="33" t="str">
        <f>IF(CoDeSysIOs!C124=""," ",CoDeSysIOs!B124)</f>
        <v>SOP710_KM1</v>
      </c>
      <c r="F124" s="33" t="str">
        <f>IF(CoDeSysIOs!D124="","",CoDeSysIOs!G124)</f>
        <v>Digital</v>
      </c>
      <c r="J124" s="70" t="s">
        <v>527</v>
      </c>
    </row>
    <row r="125" ht="14.25" customHeight="1">
      <c r="A125" s="33" t="str">
        <f>IF(CoDeSysIOs!C125=""," ","CODESYSSPV3/3S/IecVarAccess")</f>
        <v>CODESYSSPV3/3S/IecVarAccess</v>
      </c>
      <c r="B125" s="33" t="str">
        <f>IF(CoDeSysIOs!C125=""," ","String")</f>
        <v>String</v>
      </c>
      <c r="C125" s="33" t="str">
        <f>IF(CoDeSysIOs!C125=""," ",J125&amp;""&amp;E125)</f>
        <v>|var|CODESYS Control Win V3 x64.Application.IOs.SOP710_KM2</v>
      </c>
      <c r="D125" s="33" t="str">
        <f>IF(CoDeSysIOs!B125="","",CoDeSysIOs!H125)</f>
        <v>Read</v>
      </c>
      <c r="E125" s="33" t="str">
        <f>IF(CoDeSysIOs!C125=""," ",CoDeSysIOs!B125)</f>
        <v>SOP710_KM2</v>
      </c>
      <c r="F125" s="33" t="str">
        <f>IF(CoDeSysIOs!D125="","",CoDeSysIOs!G125)</f>
        <v>Digital</v>
      </c>
      <c r="J125" s="70" t="s">
        <v>527</v>
      </c>
    </row>
    <row r="126" ht="14.25" customHeight="1">
      <c r="A126" s="33" t="str">
        <f>IF(CoDeSysIOs!C126=""," ","CODESYSSPV3/3S/IecVarAccess")</f>
        <v>CODESYSSPV3/3S/IecVarAccess</v>
      </c>
      <c r="B126" s="33" t="str">
        <f>IF(CoDeSysIOs!C126=""," ","String")</f>
        <v>String</v>
      </c>
      <c r="C126" s="33" t="str">
        <f>IF(CoDeSysIOs!C126=""," ",J126&amp;""&amp;E126)</f>
        <v>|var|CODESYS Control Win V3 x64.Application.IOs.SOP711_KM1</v>
      </c>
      <c r="D126" s="33" t="str">
        <f>IF(CoDeSysIOs!B126="","",CoDeSysIOs!H126)</f>
        <v>Read</v>
      </c>
      <c r="E126" s="33" t="str">
        <f>IF(CoDeSysIOs!C126=""," ",CoDeSysIOs!B126)</f>
        <v>SOP711_KM1</v>
      </c>
      <c r="F126" s="33" t="str">
        <f>IF(CoDeSysIOs!D126="","",CoDeSysIOs!G126)</f>
        <v>Digital</v>
      </c>
      <c r="J126" s="70" t="s">
        <v>527</v>
      </c>
    </row>
    <row r="127" ht="14.25" customHeight="1">
      <c r="A127" s="33" t="str">
        <f>IF(CoDeSysIOs!C127=""," ","CODESYSSPV3/3S/IecVarAccess")</f>
        <v>CODESYSSPV3/3S/IecVarAccess</v>
      </c>
      <c r="B127" s="33" t="str">
        <f>IF(CoDeSysIOs!C127=""," ","String")</f>
        <v>String</v>
      </c>
      <c r="C127" s="33" t="str">
        <f>IF(CoDeSysIOs!C127=""," ",J127&amp;""&amp;E127)</f>
        <v>|var|CODESYS Control Win V3 x64.Application.IOs.SOP711_KM2</v>
      </c>
      <c r="D127" s="33" t="str">
        <f>IF(CoDeSysIOs!B127="","",CoDeSysIOs!H127)</f>
        <v>Read</v>
      </c>
      <c r="E127" s="33" t="str">
        <f>IF(CoDeSysIOs!C127=""," ",CoDeSysIOs!B127)</f>
        <v>SOP711_KM2</v>
      </c>
      <c r="F127" s="33" t="str">
        <f>IF(CoDeSysIOs!D127="","",CoDeSysIOs!G127)</f>
        <v>Digital</v>
      </c>
      <c r="J127" s="70" t="s">
        <v>527</v>
      </c>
    </row>
    <row r="128" ht="14.25" customHeight="1">
      <c r="A128" s="33" t="str">
        <f>IF(CoDeSysIOs!C128=""," ","CODESYSSPV3/3S/IecVarAccess")</f>
        <v>CODESYSSPV3/3S/IecVarAccess</v>
      </c>
      <c r="B128" s="33" t="str">
        <f>IF(CoDeSysIOs!C128=""," ","String")</f>
        <v>String</v>
      </c>
      <c r="C128" s="33" t="str">
        <f>IF(CoDeSysIOs!C128=""," ",J128&amp;""&amp;E128)</f>
        <v>|var|CODESYS Control Win V3 x64.Application.IOs.SOP712_KM1</v>
      </c>
      <c r="D128" s="33" t="str">
        <f>IF(CoDeSysIOs!B128="","",CoDeSysIOs!H128)</f>
        <v>Read</v>
      </c>
      <c r="E128" s="33" t="str">
        <f>IF(CoDeSysIOs!C128=""," ",CoDeSysIOs!B128)</f>
        <v>SOP712_KM1</v>
      </c>
      <c r="F128" s="33" t="str">
        <f>IF(CoDeSysIOs!D128="","",CoDeSysIOs!G128)</f>
        <v>Digital</v>
      </c>
      <c r="J128" s="70" t="s">
        <v>527</v>
      </c>
    </row>
    <row r="129" ht="14.25" customHeight="1">
      <c r="A129" s="33" t="str">
        <f>IF(CoDeSysIOs!C129=""," ","CODESYSSPV3/3S/IecVarAccess")</f>
        <v>CODESYSSPV3/3S/IecVarAccess</v>
      </c>
      <c r="B129" s="33" t="str">
        <f>IF(CoDeSysIOs!C129=""," ","String")</f>
        <v>String</v>
      </c>
      <c r="C129" s="33" t="str">
        <f>IF(CoDeSysIOs!C129=""," ",J129&amp;""&amp;E129)</f>
        <v>|var|CODESYS Control Win V3 x64.Application.IOs.SOP712_KM2</v>
      </c>
      <c r="D129" s="33" t="str">
        <f>IF(CoDeSysIOs!B129="","",CoDeSysIOs!H129)</f>
        <v>Read</v>
      </c>
      <c r="E129" s="33" t="str">
        <f>IF(CoDeSysIOs!C129=""," ",CoDeSysIOs!B129)</f>
        <v>SOP712_KM2</v>
      </c>
      <c r="F129" s="33" t="str">
        <f>IF(CoDeSysIOs!D129="","",CoDeSysIOs!G129)</f>
        <v>Digital</v>
      </c>
      <c r="J129" s="70" t="s">
        <v>527</v>
      </c>
    </row>
    <row r="130" ht="14.25" customHeight="1">
      <c r="A130" s="33" t="str">
        <f>IF(CoDeSysIOs!C130=""," ","CODESYSSPV3/3S/IecVarAccess")</f>
        <v>CODESYSSPV3/3S/IecVarAccess</v>
      </c>
      <c r="B130" s="33" t="str">
        <f>IF(CoDeSysIOs!C130=""," ","String")</f>
        <v>String</v>
      </c>
      <c r="C130" s="33" t="str">
        <f>IF(CoDeSysIOs!C130=""," ",J130&amp;""&amp;E130)</f>
        <v>|var|CODESYS Control Win V3 x64.Application.IOs.SOP713_KM1</v>
      </c>
      <c r="D130" s="33" t="str">
        <f>IF(CoDeSysIOs!B130="","",CoDeSysIOs!H130)</f>
        <v>Read</v>
      </c>
      <c r="E130" s="33" t="str">
        <f>IF(CoDeSysIOs!C130=""," ",CoDeSysIOs!B130)</f>
        <v>SOP713_KM1</v>
      </c>
      <c r="F130" s="33" t="str">
        <f>IF(CoDeSysIOs!D130="","",CoDeSysIOs!G130)</f>
        <v>Digital</v>
      </c>
      <c r="J130" s="70" t="s">
        <v>527</v>
      </c>
    </row>
    <row r="131" ht="14.25" customHeight="1">
      <c r="A131" s="33" t="str">
        <f>IF(CoDeSysIOs!C131=""," ","CODESYSSPV3/3S/IecVarAccess")</f>
        <v>CODESYSSPV3/3S/IecVarAccess</v>
      </c>
      <c r="B131" s="33" t="str">
        <f>IF(CoDeSysIOs!C131=""," ","String")</f>
        <v>String</v>
      </c>
      <c r="C131" s="33" t="str">
        <f>IF(CoDeSysIOs!C131=""," ",J131&amp;""&amp;E131)</f>
        <v>|var|CODESYS Control Win V3 x64.Application.IOs.SOP713_KM2</v>
      </c>
      <c r="D131" s="33" t="str">
        <f>IF(CoDeSysIOs!B131="","",CoDeSysIOs!H131)</f>
        <v>Read</v>
      </c>
      <c r="E131" s="33" t="str">
        <f>IF(CoDeSysIOs!C131=""," ",CoDeSysIOs!B131)</f>
        <v>SOP713_KM2</v>
      </c>
      <c r="F131" s="33" t="str">
        <f>IF(CoDeSysIOs!D131="","",CoDeSysIOs!G131)</f>
        <v>Digital</v>
      </c>
      <c r="J131" s="70" t="s">
        <v>527</v>
      </c>
    </row>
    <row r="132" ht="14.25" customHeight="1">
      <c r="A132" s="33" t="str">
        <f>IF(CoDeSysIOs!C132=""," ","CODESYSSPV3/3S/IecVarAccess")</f>
        <v>CODESYSSPV3/3S/IecVarAccess</v>
      </c>
      <c r="B132" s="33" t="str">
        <f>IF(CoDeSysIOs!C132=""," ","String")</f>
        <v>String</v>
      </c>
      <c r="C132" s="33" t="str">
        <f>IF(CoDeSysIOs!C132=""," ",J132&amp;""&amp;E132)</f>
        <v>|var|CODESYS Control Win V3 x64.Application.IOs.SOP713_K3</v>
      </c>
      <c r="D132" s="33" t="str">
        <f>IF(CoDeSysIOs!B132="","",CoDeSysIOs!H132)</f>
        <v>Read</v>
      </c>
      <c r="E132" s="33" t="str">
        <f>IF(CoDeSysIOs!C132=""," ",CoDeSysIOs!B132)</f>
        <v>SOP713_K3</v>
      </c>
      <c r="F132" s="33" t="str">
        <f>IF(CoDeSysIOs!D132="","",CoDeSysIOs!G132)</f>
        <v>Digital</v>
      </c>
      <c r="J132" s="70" t="s">
        <v>527</v>
      </c>
    </row>
    <row r="133" ht="14.25" customHeight="1">
      <c r="A133" s="33" t="str">
        <f>IF(CoDeSysIOs!C133=""," ","CODESYSSPV3/3S/IecVarAccess")</f>
        <v>CODESYSSPV3/3S/IecVarAccess</v>
      </c>
      <c r="B133" s="33" t="str">
        <f>IF(CoDeSysIOs!C133=""," ","String")</f>
        <v>String</v>
      </c>
      <c r="C133" s="33" t="str">
        <f>IF(CoDeSysIOs!C133=""," ",J133&amp;""&amp;E133)</f>
        <v>|var|CODESYS Control Win V3 x64.Application.IOs.SOP713_K4</v>
      </c>
      <c r="D133" s="33" t="str">
        <f>IF(CoDeSysIOs!B133="","",CoDeSysIOs!H133)</f>
        <v>Read</v>
      </c>
      <c r="E133" s="33" t="str">
        <f>IF(CoDeSysIOs!C133=""," ",CoDeSysIOs!B133)</f>
        <v>SOP713_K4</v>
      </c>
      <c r="F133" s="33" t="str">
        <f>IF(CoDeSysIOs!D133="","",CoDeSysIOs!G133)</f>
        <v>Digital</v>
      </c>
      <c r="J133" s="70" t="s">
        <v>527</v>
      </c>
    </row>
    <row r="134" ht="14.25" customHeight="1">
      <c r="A134" s="33" t="str">
        <f>IF(CoDeSysIOs!C134=""," ","CODESYSSPV3/3S/IecVarAccess")</f>
        <v>CODESYSSPV3/3S/IecVarAccess</v>
      </c>
      <c r="B134" s="33" t="str">
        <f>IF(CoDeSysIOs!C134=""," ","String")</f>
        <v>String</v>
      </c>
      <c r="C134" s="33" t="str">
        <f>IF(CoDeSysIOs!C134=""," ",J134&amp;""&amp;E134)</f>
        <v>|var|CODESYS Control Win V3 x64.Application.IOs.SOP713_K5</v>
      </c>
      <c r="D134" s="33" t="str">
        <f>IF(CoDeSysIOs!B134="","",CoDeSysIOs!H134)</f>
        <v>Read</v>
      </c>
      <c r="E134" s="33" t="str">
        <f>IF(CoDeSysIOs!C134=""," ",CoDeSysIOs!B134)</f>
        <v>SOP713_K5</v>
      </c>
      <c r="F134" s="33" t="str">
        <f>IF(CoDeSysIOs!D134="","",CoDeSysIOs!G134)</f>
        <v>Digital</v>
      </c>
      <c r="J134" s="70" t="s">
        <v>527</v>
      </c>
    </row>
    <row r="135" ht="14.25" customHeight="1">
      <c r="A135" s="33" t="str">
        <f>IF(CoDeSysIOs!C135=""," ","CODESYSSPV3/3S/IecVarAccess")</f>
        <v>CODESYSSPV3/3S/IecVarAccess</v>
      </c>
      <c r="B135" s="33" t="str">
        <f>IF(CoDeSysIOs!C135=""," ","String")</f>
        <v>String</v>
      </c>
      <c r="C135" s="33" t="str">
        <f>IF(CoDeSysIOs!C135=""," ",J135&amp;""&amp;E135)</f>
        <v>|var|CODESYS Control Win V3 x64.Application.IOs.SOP713_K6</v>
      </c>
      <c r="D135" s="33" t="str">
        <f>IF(CoDeSysIOs!B135="","",CoDeSysIOs!H135)</f>
        <v>Read</v>
      </c>
      <c r="E135" s="33" t="str">
        <f>IF(CoDeSysIOs!C135=""," ",CoDeSysIOs!B135)</f>
        <v>SOP713_K6</v>
      </c>
      <c r="F135" s="33" t="str">
        <f>IF(CoDeSysIOs!D135="","",CoDeSysIOs!G135)</f>
        <v>Digital</v>
      </c>
      <c r="J135" s="70" t="s">
        <v>527</v>
      </c>
    </row>
    <row r="136" ht="14.25" customHeight="1">
      <c r="A136" s="33" t="str">
        <f>IF(CoDeSysIOs!C136=""," ","CODESYSSPV3/3S/IecVarAccess")</f>
        <v>CODESYSSPV3/3S/IecVarAccess</v>
      </c>
      <c r="B136" s="33" t="str">
        <f>IF(CoDeSysIOs!C136=""," ","String")</f>
        <v>String</v>
      </c>
      <c r="C136" s="33" t="str">
        <f>IF(CoDeSysIOs!C136=""," ",J136&amp;""&amp;E136)</f>
        <v>|var|CODESYS Control Win V3 x64.Application.IOs.SOP714_KM1</v>
      </c>
      <c r="D136" s="33" t="str">
        <f>IF(CoDeSysIOs!B136="","",CoDeSysIOs!H136)</f>
        <v>Read</v>
      </c>
      <c r="E136" s="33" t="str">
        <f>IF(CoDeSysIOs!C136=""," ",CoDeSysIOs!B136)</f>
        <v>SOP714_KM1</v>
      </c>
      <c r="F136" s="33" t="str">
        <f>IF(CoDeSysIOs!D136="","",CoDeSysIOs!G136)</f>
        <v>Digital</v>
      </c>
      <c r="J136" s="70" t="s">
        <v>527</v>
      </c>
    </row>
    <row r="137" ht="14.25" customHeight="1">
      <c r="A137" s="33" t="str">
        <f>IF(CoDeSysIOs!C137=""," ","CODESYSSPV3/3S/IecVarAccess")</f>
        <v>CODESYSSPV3/3S/IecVarAccess</v>
      </c>
      <c r="B137" s="33" t="str">
        <f>IF(CoDeSysIOs!C137=""," ","String")</f>
        <v>String</v>
      </c>
      <c r="C137" s="33" t="str">
        <f>IF(CoDeSysIOs!C137=""," ",J137&amp;""&amp;E137)</f>
        <v>|var|CODESYS Control Win V3 x64.Application.IOs.SOP714_KM2</v>
      </c>
      <c r="D137" s="33" t="str">
        <f>IF(CoDeSysIOs!B137="","",CoDeSysIOs!H137)</f>
        <v>Read</v>
      </c>
      <c r="E137" s="33" t="str">
        <f>IF(CoDeSysIOs!C137=""," ",CoDeSysIOs!B137)</f>
        <v>SOP714_KM2</v>
      </c>
      <c r="F137" s="33" t="str">
        <f>IF(CoDeSysIOs!D137="","",CoDeSysIOs!G137)</f>
        <v>Digital</v>
      </c>
      <c r="J137" s="70" t="s">
        <v>527</v>
      </c>
    </row>
    <row r="138" ht="14.25" customHeight="1">
      <c r="A138" s="33" t="str">
        <f>IF(CoDeSysIOs!C138=""," ","CODESYSSPV3/3S/IecVarAccess")</f>
        <v>CODESYSSPV3/3S/IecVarAccess</v>
      </c>
      <c r="B138" s="33" t="str">
        <f>IF(CoDeSysIOs!C138=""," ","String")</f>
        <v>String</v>
      </c>
      <c r="C138" s="33" t="str">
        <f>IF(CoDeSysIOs!C138=""," ",J138&amp;""&amp;E138)</f>
        <v>|var|CODESYS Control Win V3 x64.Application.IOs.SOP715_KM1</v>
      </c>
      <c r="D138" s="33" t="str">
        <f>IF(CoDeSysIOs!B138="","",CoDeSysIOs!H138)</f>
        <v>Read</v>
      </c>
      <c r="E138" s="33" t="str">
        <f>IF(CoDeSysIOs!C138=""," ",CoDeSysIOs!B138)</f>
        <v>SOP715_KM1</v>
      </c>
      <c r="F138" s="33" t="str">
        <f>IF(CoDeSysIOs!D138="","",CoDeSysIOs!G138)</f>
        <v>Digital</v>
      </c>
      <c r="J138" s="70" t="s">
        <v>527</v>
      </c>
    </row>
    <row r="139" ht="14.25" customHeight="1">
      <c r="A139" s="33" t="str">
        <f>IF(CoDeSysIOs!C139=""," ","CODESYSSPV3/3S/IecVarAccess")</f>
        <v>CODESYSSPV3/3S/IecVarAccess</v>
      </c>
      <c r="B139" s="33" t="str">
        <f>IF(CoDeSysIOs!C139=""," ","String")</f>
        <v>String</v>
      </c>
      <c r="C139" s="33" t="str">
        <f>IF(CoDeSysIOs!C139=""," ",J139&amp;""&amp;E139)</f>
        <v>|var|CODESYS Control Win V3 x64.Application.IOs.SOP715_KM2</v>
      </c>
      <c r="D139" s="33" t="str">
        <f>IF(CoDeSysIOs!B139="","",CoDeSysIOs!H139)</f>
        <v>Read</v>
      </c>
      <c r="E139" s="33" t="str">
        <f>IF(CoDeSysIOs!C139=""," ",CoDeSysIOs!B139)</f>
        <v>SOP715_KM2</v>
      </c>
      <c r="F139" s="33" t="str">
        <f>IF(CoDeSysIOs!D139="","",CoDeSysIOs!G139)</f>
        <v>Digital</v>
      </c>
      <c r="J139" s="70" t="s">
        <v>527</v>
      </c>
    </row>
    <row r="140" ht="14.25" customHeight="1">
      <c r="A140" s="33" t="str">
        <f>IF(CoDeSysIOs!C140=""," ","CODESYSSPV3/3S/IecVarAccess")</f>
        <v> </v>
      </c>
      <c r="B140" s="33" t="str">
        <f>IF(CoDeSysIOs!C140=""," ","String")</f>
        <v> </v>
      </c>
      <c r="C140" s="33" t="str">
        <f>IF(CoDeSysIOs!C140=""," ",J140&amp;""&amp;E140)</f>
        <v> </v>
      </c>
      <c r="D140" s="33" t="str">
        <f>IF(CoDeSysIOs!B140="","",CoDeSysIOs!H140)</f>
        <v/>
      </c>
      <c r="E140" s="33" t="str">
        <f>IF(CoDeSysIOs!C140=""," ",CoDeSysIOs!B140)</f>
        <v> </v>
      </c>
      <c r="F140" s="33" t="str">
        <f>IF(CoDeSysIOs!D140="","",CoDeSysIOs!G140)</f>
        <v/>
      </c>
      <c r="J140" s="70" t="s">
        <v>527</v>
      </c>
    </row>
    <row r="141" ht="14.25" customHeight="1">
      <c r="A141" s="33" t="str">
        <f>IF(CoDeSysIOs!C141=""," ","CODESYSSPV3/3S/IecVarAccess")</f>
        <v>CODESYSSPV3/3S/IecVarAccess</v>
      </c>
      <c r="B141" s="33" t="str">
        <f>IF(CoDeSysIOs!C141=""," ","String")</f>
        <v>String</v>
      </c>
      <c r="C141" s="33" t="str">
        <f>IF(CoDeSysIOs!C141=""," ",J141&amp;""&amp;E141)</f>
        <v>|var|CODESYS Control Win V3 x64.Application.IOs.SOP716_KM1</v>
      </c>
      <c r="D141" s="33" t="str">
        <f>IF(CoDeSysIOs!B141="","",CoDeSysIOs!H141)</f>
        <v>Read</v>
      </c>
      <c r="E141" s="33" t="str">
        <f>IF(CoDeSysIOs!C141=""," ",CoDeSysIOs!B141)</f>
        <v>SOP716_KM1</v>
      </c>
      <c r="F141" s="33" t="str">
        <f>IF(CoDeSysIOs!D141="","",CoDeSysIOs!G141)</f>
        <v>Digital</v>
      </c>
      <c r="J141" s="70" t="s">
        <v>527</v>
      </c>
    </row>
    <row r="142" ht="14.25" customHeight="1">
      <c r="A142" s="33" t="str">
        <f>IF(CoDeSysIOs!C142=""," ","CODESYSSPV3/3S/IecVarAccess")</f>
        <v>CODESYSSPV3/3S/IecVarAccess</v>
      </c>
      <c r="B142" s="33" t="str">
        <f>IF(CoDeSysIOs!C142=""," ","String")</f>
        <v>String</v>
      </c>
      <c r="C142" s="33" t="str">
        <f>IF(CoDeSysIOs!C142=""," ",J142&amp;""&amp;E142)</f>
        <v>|var|CODESYS Control Win V3 x64.Application.IOs.SOP716_KM2</v>
      </c>
      <c r="D142" s="33" t="str">
        <f>IF(CoDeSysIOs!B142="","",CoDeSysIOs!H142)</f>
        <v>Read</v>
      </c>
      <c r="E142" s="33" t="str">
        <f>IF(CoDeSysIOs!C142=""," ",CoDeSysIOs!B142)</f>
        <v>SOP716_KM2</v>
      </c>
      <c r="F142" s="33" t="str">
        <f>IF(CoDeSysIOs!D142="","",CoDeSysIOs!G142)</f>
        <v>Digital</v>
      </c>
      <c r="J142" s="70" t="s">
        <v>527</v>
      </c>
    </row>
    <row r="143" ht="14.25" customHeight="1">
      <c r="A143" s="33" t="str">
        <f>IF(CoDeSysIOs!C143=""," ","CODESYSSPV3/3S/IecVarAccess")</f>
        <v>CODESYSSPV3/3S/IecVarAccess</v>
      </c>
      <c r="B143" s="33" t="str">
        <f>IF(CoDeSysIOs!C143=""," ","String")</f>
        <v>String</v>
      </c>
      <c r="C143" s="33" t="str">
        <f>IF(CoDeSysIOs!C143=""," ",J143&amp;""&amp;E143)</f>
        <v>|var|CODESYS Control Win V3 x64.Application.IOs.SOP717_KM1</v>
      </c>
      <c r="D143" s="33" t="str">
        <f>IF(CoDeSysIOs!B143="","",CoDeSysIOs!H143)</f>
        <v>Read</v>
      </c>
      <c r="E143" s="33" t="str">
        <f>IF(CoDeSysIOs!C143=""," ",CoDeSysIOs!B143)</f>
        <v>SOP717_KM1</v>
      </c>
      <c r="F143" s="33" t="str">
        <f>IF(CoDeSysIOs!D143="","",CoDeSysIOs!G143)</f>
        <v>Digital</v>
      </c>
      <c r="J143" s="70" t="s">
        <v>527</v>
      </c>
    </row>
    <row r="144" ht="14.25" customHeight="1">
      <c r="A144" s="33" t="str">
        <f>IF(CoDeSysIOs!C144=""," ","CODESYSSPV3/3S/IecVarAccess")</f>
        <v>CODESYSSPV3/3S/IecVarAccess</v>
      </c>
      <c r="B144" s="33" t="str">
        <f>IF(CoDeSysIOs!C144=""," ","String")</f>
        <v>String</v>
      </c>
      <c r="C144" s="33" t="str">
        <f>IF(CoDeSysIOs!C144=""," ",J144&amp;""&amp;E144)</f>
        <v>|var|CODESYS Control Win V3 x64.Application.IOs.SOP717_KM2</v>
      </c>
      <c r="D144" s="33" t="str">
        <f>IF(CoDeSysIOs!B144="","",CoDeSysIOs!H144)</f>
        <v>Read</v>
      </c>
      <c r="E144" s="33" t="str">
        <f>IF(CoDeSysIOs!C144=""," ",CoDeSysIOs!B144)</f>
        <v>SOP717_KM2</v>
      </c>
      <c r="F144" s="33" t="str">
        <f>IF(CoDeSysIOs!D144="","",CoDeSysIOs!G144)</f>
        <v>Digital</v>
      </c>
      <c r="J144" s="70" t="s">
        <v>527</v>
      </c>
    </row>
    <row r="145" ht="14.25" customHeight="1">
      <c r="A145" s="33" t="str">
        <f>IF(CoDeSysIOs!C145=""," ","CODESYSSPV3/3S/IecVarAccess")</f>
        <v>CODESYSSPV3/3S/IecVarAccess</v>
      </c>
      <c r="B145" s="33" t="str">
        <f>IF(CoDeSysIOs!C145=""," ","String")</f>
        <v>String</v>
      </c>
      <c r="C145" s="33" t="str">
        <f>IF(CoDeSysIOs!C145=""," ",J145&amp;""&amp;E145)</f>
        <v>|var|CODESYS Control Win V3 x64.Application.IOs.SOP720_KM1</v>
      </c>
      <c r="D145" s="33" t="str">
        <f>IF(CoDeSysIOs!B145="","",CoDeSysIOs!H145)</f>
        <v>Read</v>
      </c>
      <c r="E145" s="33" t="str">
        <f>IF(CoDeSysIOs!C145=""," ",CoDeSysIOs!B145)</f>
        <v>SOP720_KM1</v>
      </c>
      <c r="F145" s="33" t="str">
        <f>IF(CoDeSysIOs!D145="","",CoDeSysIOs!G145)</f>
        <v>Digital</v>
      </c>
      <c r="J145" s="70" t="s">
        <v>527</v>
      </c>
    </row>
    <row r="146" ht="14.25" customHeight="1">
      <c r="A146" s="33" t="str">
        <f>IF(CoDeSysIOs!C146=""," ","CODESYSSPV3/3S/IecVarAccess")</f>
        <v>CODESYSSPV3/3S/IecVarAccess</v>
      </c>
      <c r="B146" s="33" t="str">
        <f>IF(CoDeSysIOs!C146=""," ","String")</f>
        <v>String</v>
      </c>
      <c r="C146" s="33" t="str">
        <f>IF(CoDeSysIOs!C146=""," ",J146&amp;""&amp;E146)</f>
        <v>|var|CODESYS Control Win V3 x64.Application.IOs.SOP720_KM2</v>
      </c>
      <c r="D146" s="33" t="str">
        <f>IF(CoDeSysIOs!B146="","",CoDeSysIOs!H146)</f>
        <v>Read</v>
      </c>
      <c r="E146" s="33" t="str">
        <f>IF(CoDeSysIOs!C146=""," ",CoDeSysIOs!B146)</f>
        <v>SOP720_KM2</v>
      </c>
      <c r="F146" s="33" t="str">
        <f>IF(CoDeSysIOs!D146="","",CoDeSysIOs!G146)</f>
        <v>Digital</v>
      </c>
      <c r="J146" s="70" t="s">
        <v>527</v>
      </c>
    </row>
    <row r="147" ht="14.25" customHeight="1">
      <c r="A147" s="33" t="str">
        <f>IF(CoDeSysIOs!C147=""," ","CODESYSSPV3/3S/IecVarAccess")</f>
        <v>CODESYSSPV3/3S/IecVarAccess</v>
      </c>
      <c r="B147" s="33" t="str">
        <f>IF(CoDeSysIOs!C147=""," ","String")</f>
        <v>String</v>
      </c>
      <c r="C147" s="33" t="str">
        <f>IF(CoDeSysIOs!C147=""," ",J147&amp;""&amp;E147)</f>
        <v>|var|CODESYS Control Win V3 x64.Application.IOs.SOP720_KM3</v>
      </c>
      <c r="D147" s="33" t="str">
        <f>IF(CoDeSysIOs!B147="","",CoDeSysIOs!H147)</f>
        <v>Read</v>
      </c>
      <c r="E147" s="33" t="str">
        <f>IF(CoDeSysIOs!C147=""," ",CoDeSysIOs!B147)</f>
        <v>SOP720_KM3</v>
      </c>
      <c r="F147" s="33" t="str">
        <f>IF(CoDeSysIOs!D147="","",CoDeSysIOs!G147)</f>
        <v>Digital</v>
      </c>
      <c r="J147" s="70" t="s">
        <v>527</v>
      </c>
    </row>
    <row r="148" ht="14.25" customHeight="1">
      <c r="A148" s="33" t="str">
        <f>IF(CoDeSysIOs!C148=""," ","CODESYSSPV3/3S/IecVarAccess")</f>
        <v>CODESYSSPV3/3S/IecVarAccess</v>
      </c>
      <c r="B148" s="33" t="str">
        <f>IF(CoDeSysIOs!C148=""," ","String")</f>
        <v>String</v>
      </c>
      <c r="C148" s="33" t="str">
        <f>IF(CoDeSysIOs!C148=""," ",J148&amp;""&amp;E148)</f>
        <v>|var|CODESYS Control Win V3 x64.Application.IOs.SOP720_KM4</v>
      </c>
      <c r="D148" s="33" t="str">
        <f>IF(CoDeSysIOs!B148="","",CoDeSysIOs!H148)</f>
        <v>Read</v>
      </c>
      <c r="E148" s="33" t="str">
        <f>IF(CoDeSysIOs!C148=""," ",CoDeSysIOs!B148)</f>
        <v>SOP720_KM4</v>
      </c>
      <c r="F148" s="33" t="str">
        <f>IF(CoDeSysIOs!D148="","",CoDeSysIOs!G148)</f>
        <v>Digital</v>
      </c>
      <c r="J148" s="70" t="s">
        <v>527</v>
      </c>
    </row>
    <row r="149" ht="14.25" customHeight="1">
      <c r="A149" s="33" t="str">
        <f>IF(CoDeSysIOs!C149=""," ","CODESYSSPV3/3S/IecVarAccess")</f>
        <v> </v>
      </c>
      <c r="B149" s="33" t="str">
        <f>IF(CoDeSysIOs!C149=""," ","String")</f>
        <v> </v>
      </c>
      <c r="C149" s="33" t="str">
        <f>IF(CoDeSysIOs!C149=""," ",J149&amp;""&amp;E149)</f>
        <v> </v>
      </c>
      <c r="D149" s="33" t="str">
        <f>IF(CoDeSysIOs!B149="","",CoDeSysIOs!H149)</f>
        <v/>
      </c>
      <c r="E149" s="33" t="str">
        <f>IF(CoDeSysIOs!C149=""," ",CoDeSysIOs!B149)</f>
        <v> </v>
      </c>
      <c r="F149" s="33" t="str">
        <f>IF(CoDeSysIOs!D149="","",CoDeSysIOs!G149)</f>
        <v/>
      </c>
      <c r="J149" s="70" t="s">
        <v>527</v>
      </c>
    </row>
    <row r="150" ht="14.25" customHeight="1">
      <c r="A150" s="33" t="str">
        <f>IF(CoDeSysIOs!C150=""," ","CODESYSSPV3/3S/IecVarAccess")</f>
        <v> </v>
      </c>
      <c r="B150" s="33" t="str">
        <f>IF(CoDeSysIOs!C150=""," ","String")</f>
        <v> </v>
      </c>
      <c r="C150" s="33" t="str">
        <f>IF(CoDeSysIOs!C150=""," ",J150&amp;""&amp;E150)</f>
        <v> </v>
      </c>
      <c r="D150" s="33" t="str">
        <f>IF(CoDeSysIOs!B150="","",CoDeSysIOs!H150)</f>
        <v/>
      </c>
      <c r="E150" s="33" t="str">
        <f>IF(CoDeSysIOs!C150=""," ",CoDeSysIOs!B150)</f>
        <v> </v>
      </c>
      <c r="F150" s="33" t="str">
        <f>IF(CoDeSysIOs!D150="","",CoDeSysIOs!G150)</f>
        <v/>
      </c>
      <c r="J150" s="70" t="s">
        <v>527</v>
      </c>
    </row>
    <row r="151" ht="14.25" customHeight="1">
      <c r="A151" s="33" t="str">
        <f>IF(CoDeSysIOs!C151=""," ","CODESYSSPV3/3S/IecVarAccess")</f>
        <v> </v>
      </c>
      <c r="B151" s="33" t="str">
        <f>IF(CoDeSysIOs!C151=""," ","String")</f>
        <v> </v>
      </c>
      <c r="C151" s="33" t="str">
        <f>IF(CoDeSysIOs!C151=""," ",J151&amp;""&amp;E151)</f>
        <v> </v>
      </c>
      <c r="D151" s="33" t="str">
        <f>IF(CoDeSysIOs!B151="","",CoDeSysIOs!H151)</f>
        <v/>
      </c>
      <c r="E151" s="33" t="str">
        <f>IF(CoDeSysIOs!C151=""," ",CoDeSysIOs!B151)</f>
        <v> </v>
      </c>
      <c r="F151" s="33" t="str">
        <f>IF(CoDeSysIOs!D151="","",CoDeSysIOs!G151)</f>
        <v/>
      </c>
      <c r="J151" s="70" t="s">
        <v>527</v>
      </c>
    </row>
    <row r="152" ht="14.25" customHeight="1">
      <c r="A152" s="33" t="str">
        <f>IF(CoDeSysIOs!C152=""," ","CODESYSSPV3/3S/IecVarAccess")</f>
        <v> </v>
      </c>
      <c r="B152" s="33" t="str">
        <f>IF(CoDeSysIOs!C152=""," ","String")</f>
        <v> </v>
      </c>
      <c r="C152" s="33" t="str">
        <f>IF(CoDeSysIOs!C152=""," ",J152&amp;""&amp;E152)</f>
        <v> </v>
      </c>
      <c r="D152" s="33" t="str">
        <f>IF(CoDeSysIOs!B152="","",CoDeSysIOs!H152)</f>
        <v/>
      </c>
      <c r="E152" s="33" t="str">
        <f>IF(CoDeSysIOs!C152=""," ",CoDeSysIOs!B152)</f>
        <v> </v>
      </c>
      <c r="F152" s="33" t="str">
        <f>IF(CoDeSysIOs!D152="","",CoDeSysIOs!G152)</f>
        <v/>
      </c>
      <c r="J152" s="70" t="s">
        <v>527</v>
      </c>
    </row>
    <row r="153" ht="14.25" customHeight="1">
      <c r="A153" s="33" t="str">
        <f>IF(CoDeSysIOs!C153=""," ","CODESYSSPV3/3S/IecVarAccess")</f>
        <v> </v>
      </c>
      <c r="B153" s="33" t="str">
        <f>IF(CoDeSysIOs!C153=""," ","String")</f>
        <v> </v>
      </c>
      <c r="C153" s="33" t="str">
        <f>IF(CoDeSysIOs!C153=""," ",J153&amp;""&amp;E153)</f>
        <v> </v>
      </c>
      <c r="D153" s="33" t="str">
        <f>IF(CoDeSysIOs!B153="","",CoDeSysIOs!H153)</f>
        <v/>
      </c>
      <c r="E153" s="33" t="str">
        <f>IF(CoDeSysIOs!C153=""," ",CoDeSysIOs!B153)</f>
        <v> </v>
      </c>
      <c r="F153" s="33" t="str">
        <f>IF(CoDeSysIOs!D153="","",CoDeSysIOs!G153)</f>
        <v/>
      </c>
      <c r="J153" s="70" t="s">
        <v>527</v>
      </c>
    </row>
    <row r="154" ht="14.25" customHeight="1">
      <c r="A154" s="33" t="str">
        <f>IF(CoDeSysIOs!C154=""," ","CODESYSSPV3/3S/IecVarAccess")</f>
        <v> </v>
      </c>
      <c r="B154" s="33" t="str">
        <f>IF(CoDeSysIOs!C154=""," ","String")</f>
        <v> </v>
      </c>
      <c r="C154" s="33" t="str">
        <f>IF(CoDeSysIOs!C154=""," ",J154&amp;""&amp;E154)</f>
        <v> </v>
      </c>
      <c r="D154" s="33" t="str">
        <f>IF(CoDeSysIOs!B154="","",CoDeSysIOs!H154)</f>
        <v/>
      </c>
      <c r="E154" s="33" t="str">
        <f>IF(CoDeSysIOs!C154=""," ",CoDeSysIOs!B154)</f>
        <v> </v>
      </c>
      <c r="F154" s="33" t="str">
        <f>IF(CoDeSysIOs!D154="","",CoDeSysIOs!G154)</f>
        <v/>
      </c>
      <c r="J154" s="70" t="s">
        <v>527</v>
      </c>
    </row>
    <row r="155" ht="14.25" customHeight="1">
      <c r="A155" s="33" t="str">
        <f>IF(CoDeSysIOs!C155=""," ","CODESYSSPV3/3S/IecVarAccess")</f>
        <v> </v>
      </c>
      <c r="B155" s="33" t="str">
        <f>IF(CoDeSysIOs!C155=""," ","String")</f>
        <v> </v>
      </c>
      <c r="C155" s="33" t="str">
        <f>IF(CoDeSysIOs!C155=""," ",J155&amp;""&amp;E155)</f>
        <v> </v>
      </c>
      <c r="D155" s="33" t="str">
        <f>IF(CoDeSysIOs!B155="","",CoDeSysIOs!H155)</f>
        <v/>
      </c>
      <c r="E155" s="33" t="str">
        <f>IF(CoDeSysIOs!C155=""," ",CoDeSysIOs!B155)</f>
        <v> </v>
      </c>
      <c r="F155" s="33" t="str">
        <f>IF(CoDeSysIOs!D155="","",CoDeSysIOs!G155)</f>
        <v/>
      </c>
      <c r="J155" s="70" t="s">
        <v>527</v>
      </c>
    </row>
    <row r="156" ht="14.25" customHeight="1">
      <c r="A156" s="33" t="str">
        <f>IF(CoDeSysIOs!C156=""," ","CODESYSSPV3/3S/IecVarAccess")</f>
        <v> </v>
      </c>
      <c r="B156" s="33" t="str">
        <f>IF(CoDeSysIOs!C156=""," ","String")</f>
        <v> </v>
      </c>
      <c r="C156" s="33" t="str">
        <f>IF(CoDeSysIOs!C156=""," ",J156&amp;""&amp;E156)</f>
        <v> </v>
      </c>
      <c r="D156" s="33" t="str">
        <f>IF(CoDeSysIOs!B156="","",CoDeSysIOs!H156)</f>
        <v/>
      </c>
      <c r="E156" s="33" t="str">
        <f>IF(CoDeSysIOs!C156=""," ",CoDeSysIOs!B156)</f>
        <v> </v>
      </c>
      <c r="F156" s="33" t="str">
        <f>IF(CoDeSysIOs!D156="","",CoDeSysIOs!G156)</f>
        <v/>
      </c>
      <c r="J156" s="70" t="s">
        <v>527</v>
      </c>
    </row>
    <row r="157" ht="14.25" customHeight="1">
      <c r="A157" s="33" t="str">
        <f>IF(CoDeSysIOs!C157=""," ","CODESYSSPV3/3S/IecVarAccess")</f>
        <v> </v>
      </c>
      <c r="B157" s="33" t="str">
        <f>IF(CoDeSysIOs!C157=""," ","String")</f>
        <v> </v>
      </c>
      <c r="C157" s="33" t="str">
        <f>IF(CoDeSysIOs!C157=""," ",J157&amp;""&amp;E157)</f>
        <v> </v>
      </c>
      <c r="D157" s="33" t="str">
        <f>IF(CoDeSysIOs!B157="","",CoDeSysIOs!H157)</f>
        <v/>
      </c>
      <c r="E157" s="33" t="str">
        <f>IF(CoDeSysIOs!C157=""," ",CoDeSysIOs!B157)</f>
        <v> </v>
      </c>
      <c r="F157" s="33" t="str">
        <f>IF(CoDeSysIOs!D157="","",CoDeSysIOs!G157)</f>
        <v/>
      </c>
      <c r="J157" s="70" t="s">
        <v>527</v>
      </c>
    </row>
    <row r="158" ht="14.25" customHeight="1">
      <c r="A158" s="33" t="str">
        <f>IF(CoDeSysIOs!C158=""," ","CODESYSSPV3/3S/IecVarAccess")</f>
        <v>CODESYSSPV3/3S/IecVarAccess</v>
      </c>
      <c r="B158" s="33" t="str">
        <f>IF(CoDeSysIOs!C158=""," ","String")</f>
        <v>String</v>
      </c>
      <c r="C158" s="33" t="str">
        <f>IF(CoDeSysIOs!C158=""," ",J158&amp;""&amp;E158)</f>
        <v>|var|CODESYS Control Win V3 x64.Application.IOs.SOP720_Pal_Full</v>
      </c>
      <c r="D158" s="33" t="str">
        <f>IF(CoDeSysIOs!B158="","",CoDeSysIOs!H158)</f>
        <v>Read</v>
      </c>
      <c r="E158" s="33" t="str">
        <f>IF(CoDeSysIOs!C158=""," ",CoDeSysIOs!B158)</f>
        <v>SOP720_Pal_Full</v>
      </c>
      <c r="F158" s="33" t="str">
        <f>IF(CoDeSysIOs!D158="","",CoDeSysIOs!G158)</f>
        <v>Digital</v>
      </c>
      <c r="J158" s="70" t="s">
        <v>527</v>
      </c>
    </row>
    <row r="159" ht="14.25" customHeight="1">
      <c r="A159" s="33" t="str">
        <f>IF(CoDeSysIOs!C159=""," ","CODESYSSPV3/3S/IecVarAccess")</f>
        <v>CODESYSSPV3/3S/IecVarAccess</v>
      </c>
      <c r="B159" s="33" t="str">
        <f>IF(CoDeSysIOs!C159=""," ","String")</f>
        <v>String</v>
      </c>
      <c r="C159" s="33" t="str">
        <f>IF(CoDeSysIOs!C159=""," ",J159&amp;""&amp;E159)</f>
        <v>|var|CODESYS Control Win V3 x64.Application.IOs.SOP720_Pal_Refill</v>
      </c>
      <c r="D159" s="33" t="str">
        <f>IF(CoDeSysIOs!B159="","",CoDeSysIOs!H159)</f>
        <v>Read</v>
      </c>
      <c r="E159" s="33" t="str">
        <f>IF(CoDeSysIOs!C159=""," ",CoDeSysIOs!B159)</f>
        <v>SOP720_Pal_Refill</v>
      </c>
      <c r="F159" s="33" t="str">
        <f>IF(CoDeSysIOs!D159="","",CoDeSysIOs!G159)</f>
        <v>Digital</v>
      </c>
      <c r="J159" s="70" t="s">
        <v>527</v>
      </c>
    </row>
    <row r="160" ht="14.25" customHeight="1">
      <c r="A160" s="33" t="str">
        <f>IF(CoDeSysIOs!C160=""," ","CODESYSSPV3/3S/IecVarAccess")</f>
        <v>CODESYSSPV3/3S/IecVarAccess</v>
      </c>
      <c r="B160" s="33" t="str">
        <f>IF(CoDeSysIOs!C160=""," ","String")</f>
        <v>String</v>
      </c>
      <c r="C160" s="33" t="str">
        <f>IF(CoDeSysIOs!C160=""," ",J160&amp;""&amp;E160)</f>
        <v>|var|CODESYS Control Win V3 x64.Application.IOs.SOP720_Pal_Dispense</v>
      </c>
      <c r="D160" s="33" t="str">
        <f>IF(CoDeSysIOs!B160="","",CoDeSysIOs!H160)</f>
        <v>Read</v>
      </c>
      <c r="E160" s="33" t="str">
        <f>IF(CoDeSysIOs!C160=""," ",CoDeSysIOs!B160)</f>
        <v>SOP720_Pal_Dispense</v>
      </c>
      <c r="F160" s="33" t="str">
        <f>IF(CoDeSysIOs!D160="","",CoDeSysIOs!G160)</f>
        <v>Digital</v>
      </c>
      <c r="J160" s="70" t="s">
        <v>527</v>
      </c>
    </row>
    <row r="161" ht="14.25" customHeight="1">
      <c r="A161" s="33" t="str">
        <f>IF(CoDeSysIOs!C161=""," ","CODESYSSPV3/3S/IecVarAccess")</f>
        <v>CODESYSSPV3/3S/IecVarAccess</v>
      </c>
      <c r="B161" s="33" t="str">
        <f>IF(CoDeSysIOs!C161=""," ","String")</f>
        <v>String</v>
      </c>
      <c r="C161" s="33" t="str">
        <f>IF(CoDeSysIOs!C161=""," ",J161&amp;""&amp;E161)</f>
        <v>|var|CODESYS Control Win V3 x64.Application.IOs.SOP721_KM1</v>
      </c>
      <c r="D161" s="33" t="str">
        <f>IF(CoDeSysIOs!B161="","",CoDeSysIOs!H161)</f>
        <v>Read</v>
      </c>
      <c r="E161" s="33" t="str">
        <f>IF(CoDeSysIOs!C161=""," ",CoDeSysIOs!B161)</f>
        <v>SOP721_KM1</v>
      </c>
      <c r="F161" s="33" t="str">
        <f>IF(CoDeSysIOs!D161="","",CoDeSysIOs!G161)</f>
        <v>Digital</v>
      </c>
      <c r="J161" s="70" t="s">
        <v>527</v>
      </c>
    </row>
    <row r="162" ht="14.25" customHeight="1">
      <c r="A162" s="33" t="str">
        <f>IF(CoDeSysIOs!C162=""," ","CODESYSSPV3/3S/IecVarAccess")</f>
        <v>CODESYSSPV3/3S/IecVarAccess</v>
      </c>
      <c r="B162" s="33" t="str">
        <f>IF(CoDeSysIOs!C162=""," ","String")</f>
        <v>String</v>
      </c>
      <c r="C162" s="33" t="str">
        <f>IF(CoDeSysIOs!C162=""," ",J162&amp;""&amp;E162)</f>
        <v>|var|CODESYS Control Win V3 x64.Application.IOs.SOP721_KM2</v>
      </c>
      <c r="D162" s="33" t="str">
        <f>IF(CoDeSysIOs!B162="","",CoDeSysIOs!H162)</f>
        <v>Read</v>
      </c>
      <c r="E162" s="33" t="str">
        <f>IF(CoDeSysIOs!C162=""," ",CoDeSysIOs!B162)</f>
        <v>SOP721_KM2</v>
      </c>
      <c r="F162" s="33" t="str">
        <f>IF(CoDeSysIOs!D162="","",CoDeSysIOs!G162)</f>
        <v>Digital</v>
      </c>
      <c r="J162" s="70" t="s">
        <v>527</v>
      </c>
    </row>
    <row r="163" ht="14.25" customHeight="1">
      <c r="A163" s="33" t="str">
        <f>IF(CoDeSysIOs!C163=""," ","CODESYSSPV3/3S/IecVarAccess")</f>
        <v>CODESYSSPV3/3S/IecVarAccess</v>
      </c>
      <c r="B163" s="33" t="str">
        <f>IF(CoDeSysIOs!C163=""," ","String")</f>
        <v>String</v>
      </c>
      <c r="C163" s="33" t="str">
        <f>IF(CoDeSysIOs!C163=""," ",J163&amp;""&amp;E163)</f>
        <v>|var|CODESYS Control Win V3 x64.Application.IOs.SOP730_KM1</v>
      </c>
      <c r="D163" s="33" t="str">
        <f>IF(CoDeSysIOs!B163="","",CoDeSysIOs!H163)</f>
        <v>Read</v>
      </c>
      <c r="E163" s="33" t="str">
        <f>IF(CoDeSysIOs!C163=""," ",CoDeSysIOs!B163)</f>
        <v>SOP730_KM1</v>
      </c>
      <c r="F163" s="33" t="str">
        <f>IF(CoDeSysIOs!D163="","",CoDeSysIOs!G163)</f>
        <v>Digital</v>
      </c>
      <c r="J163" s="70" t="s">
        <v>527</v>
      </c>
    </row>
    <row r="164" ht="14.25" customHeight="1">
      <c r="A164" s="33" t="str">
        <f>IF(CoDeSysIOs!C164=""," ","CODESYSSPV3/3S/IecVarAccess")</f>
        <v>CODESYSSPV3/3S/IecVarAccess</v>
      </c>
      <c r="B164" s="33" t="str">
        <f>IF(CoDeSysIOs!C164=""," ","String")</f>
        <v>String</v>
      </c>
      <c r="C164" s="33" t="str">
        <f>IF(CoDeSysIOs!C164=""," ",J164&amp;""&amp;E164)</f>
        <v>|var|CODESYS Control Win V3 x64.Application.IOs.SOP730_KM2</v>
      </c>
      <c r="D164" s="33" t="str">
        <f>IF(CoDeSysIOs!B164="","",CoDeSysIOs!H164)</f>
        <v>Read</v>
      </c>
      <c r="E164" s="33" t="str">
        <f>IF(CoDeSysIOs!C164=""," ",CoDeSysIOs!B164)</f>
        <v>SOP730_KM2</v>
      </c>
      <c r="F164" s="33" t="str">
        <f>IF(CoDeSysIOs!D164="","",CoDeSysIOs!G164)</f>
        <v>Digital</v>
      </c>
      <c r="J164" s="70" t="s">
        <v>527</v>
      </c>
    </row>
    <row r="165" ht="14.25" customHeight="1">
      <c r="A165" s="33" t="str">
        <f>IF(CoDeSysIOs!C165=""," ","CODESYSSPV3/3S/IecVarAccess")</f>
        <v>CODESYSSPV3/3S/IecVarAccess</v>
      </c>
      <c r="B165" s="33" t="str">
        <f>IF(CoDeSysIOs!C165=""," ","String")</f>
        <v>String</v>
      </c>
      <c r="C165" s="33" t="str">
        <f>IF(CoDeSysIOs!C165=""," ",J165&amp;""&amp;E165)</f>
        <v>|var|CODESYS Control Win V3 x64.Application.IOs.SOP730_K2</v>
      </c>
      <c r="D165" s="33" t="str">
        <f>IF(CoDeSysIOs!B165="","",CoDeSysIOs!H165)</f>
        <v>Read</v>
      </c>
      <c r="E165" s="33" t="str">
        <f>IF(CoDeSysIOs!C165=""," ",CoDeSysIOs!B165)</f>
        <v>SOP730_K2</v>
      </c>
      <c r="F165" s="33" t="str">
        <f>IF(CoDeSysIOs!D165="","",CoDeSysIOs!G165)</f>
        <v>Digital</v>
      </c>
      <c r="J165" s="70" t="s">
        <v>527</v>
      </c>
    </row>
    <row r="166" ht="14.25" customHeight="1">
      <c r="A166" s="33" t="str">
        <f>IF(CoDeSysIOs!C166=""," ","CODESYSSPV3/3S/IecVarAccess")</f>
        <v>CODESYSSPV3/3S/IecVarAccess</v>
      </c>
      <c r="B166" s="33" t="str">
        <f>IF(CoDeSysIOs!C166=""," ","String")</f>
        <v>String</v>
      </c>
      <c r="C166" s="33" t="str">
        <f>IF(CoDeSysIOs!C166=""," ",J166&amp;""&amp;E166)</f>
        <v>|var|CODESYS Control Win V3 x64.Application.IOs.SOP730_K3</v>
      </c>
      <c r="D166" s="33" t="str">
        <f>IF(CoDeSysIOs!B166="","",CoDeSysIOs!H166)</f>
        <v>Read</v>
      </c>
      <c r="E166" s="33" t="str">
        <f>IF(CoDeSysIOs!C166=""," ",CoDeSysIOs!B166)</f>
        <v>SOP730_K3</v>
      </c>
      <c r="F166" s="33" t="str">
        <f>IF(CoDeSysIOs!D166="","",CoDeSysIOs!G166)</f>
        <v>Digital</v>
      </c>
      <c r="J166" s="70" t="s">
        <v>527</v>
      </c>
    </row>
    <row r="167" ht="14.25" customHeight="1">
      <c r="A167" s="33" t="str">
        <f>IF(CoDeSysIOs!C167=""," ","CODESYSSPV3/3S/IecVarAccess")</f>
        <v>CODESYSSPV3/3S/IecVarAccess</v>
      </c>
      <c r="B167" s="33" t="str">
        <f>IF(CoDeSysIOs!C167=""," ","String")</f>
        <v>String</v>
      </c>
      <c r="C167" s="33" t="str">
        <f>IF(CoDeSysIOs!C167=""," ",J167&amp;""&amp;E167)</f>
        <v>|var|CODESYS Control Win V3 x64.Application.IOs.SOP730_K4</v>
      </c>
      <c r="D167" s="33" t="str">
        <f>IF(CoDeSysIOs!B167="","",CoDeSysIOs!H167)</f>
        <v>Read</v>
      </c>
      <c r="E167" s="33" t="str">
        <f>IF(CoDeSysIOs!C167=""," ",CoDeSysIOs!B167)</f>
        <v>SOP730_K4</v>
      </c>
      <c r="F167" s="33" t="str">
        <f>IF(CoDeSysIOs!D167="","",CoDeSysIOs!G167)</f>
        <v>Digital</v>
      </c>
      <c r="J167" s="70" t="s">
        <v>527</v>
      </c>
    </row>
    <row r="168" ht="14.25" customHeight="1">
      <c r="A168" s="33" t="str">
        <f>IF(CoDeSysIOs!C168=""," ","CODESYSSPV3/3S/IecVarAccess")</f>
        <v>CODESYSSPV3/3S/IecVarAccess</v>
      </c>
      <c r="B168" s="33" t="str">
        <f>IF(CoDeSysIOs!C168=""," ","String")</f>
        <v>String</v>
      </c>
      <c r="C168" s="33" t="str">
        <f>IF(CoDeSysIOs!C168=""," ",J168&amp;""&amp;E168)</f>
        <v>|var|CODESYS Control Win V3 x64.Application.IOs.SOP730_K5</v>
      </c>
      <c r="D168" s="33" t="str">
        <f>IF(CoDeSysIOs!B168="","",CoDeSysIOs!H168)</f>
        <v>Read</v>
      </c>
      <c r="E168" s="33" t="str">
        <f>IF(CoDeSysIOs!C168=""," ",CoDeSysIOs!B168)</f>
        <v>SOP730_K5</v>
      </c>
      <c r="F168" s="33" t="str">
        <f>IF(CoDeSysIOs!D168="","",CoDeSysIOs!G168)</f>
        <v>Digital</v>
      </c>
      <c r="J168" s="70" t="s">
        <v>527</v>
      </c>
    </row>
    <row r="169" ht="14.25" customHeight="1">
      <c r="A169" s="33" t="str">
        <f>IF(CoDeSysIOs!C169=""," ","CODESYSSPV3/3S/IecVarAccess")</f>
        <v>CODESYSSPV3/3S/IecVarAccess</v>
      </c>
      <c r="B169" s="33" t="str">
        <f>IF(CoDeSysIOs!C169=""," ","String")</f>
        <v>String</v>
      </c>
      <c r="C169" s="33" t="str">
        <f>IF(CoDeSysIOs!C169=""," ",J169&amp;""&amp;E169)</f>
        <v>|var|CODESYS Control Win V3 x64.Application.IOs.SOP722_KM1</v>
      </c>
      <c r="D169" s="33" t="str">
        <f>IF(CoDeSysIOs!B169="","",CoDeSysIOs!H169)</f>
        <v>Read</v>
      </c>
      <c r="E169" s="33" t="str">
        <f>IF(CoDeSysIOs!C169=""," ",CoDeSysIOs!B169)</f>
        <v>SOP722_KM1</v>
      </c>
      <c r="F169" s="33" t="str">
        <f>IF(CoDeSysIOs!D169="","",CoDeSysIOs!G169)</f>
        <v>Digital</v>
      </c>
      <c r="J169" s="70" t="s">
        <v>527</v>
      </c>
    </row>
    <row r="170" ht="14.25" customHeight="1">
      <c r="A170" s="33" t="str">
        <f>IF(CoDeSysIOs!C170=""," ","CODESYSSPV3/3S/IecVarAccess")</f>
        <v>CODESYSSPV3/3S/IecVarAccess</v>
      </c>
      <c r="B170" s="33" t="str">
        <f>IF(CoDeSysIOs!C170=""," ","String")</f>
        <v>String</v>
      </c>
      <c r="C170" s="33" t="str">
        <f>IF(CoDeSysIOs!C170=""," ",J170&amp;""&amp;E170)</f>
        <v>|var|CODESYS Control Win V3 x64.Application.IOs.SOP722_KM2</v>
      </c>
      <c r="D170" s="33" t="str">
        <f>IF(CoDeSysIOs!B170="","",CoDeSysIOs!H170)</f>
        <v>Read</v>
      </c>
      <c r="E170" s="33" t="str">
        <f>IF(CoDeSysIOs!C170=""," ",CoDeSysIOs!B170)</f>
        <v>SOP722_KM2</v>
      </c>
      <c r="F170" s="33" t="str">
        <f>IF(CoDeSysIOs!D170="","",CoDeSysIOs!G170)</f>
        <v>Digital</v>
      </c>
      <c r="J170" s="70" t="s">
        <v>527</v>
      </c>
    </row>
    <row r="171" ht="14.25" customHeight="1">
      <c r="A171" s="33" t="str">
        <f>IF(CoDeSysIOs!C171=""," ","CODESYSSPV3/3S/IecVarAccess")</f>
        <v>CODESYSSPV3/3S/IecVarAccess</v>
      </c>
      <c r="B171" s="33" t="str">
        <f>IF(CoDeSysIOs!C171=""," ","String")</f>
        <v>String</v>
      </c>
      <c r="C171" s="33" t="str">
        <f>IF(CoDeSysIOs!C171=""," ",J171&amp;""&amp;E171)</f>
        <v>|var|CODESYS Control Win V3 x64.Application.IOs.SOP723_KM1</v>
      </c>
      <c r="D171" s="33" t="str">
        <f>IF(CoDeSysIOs!B171="","",CoDeSysIOs!H171)</f>
        <v>Read</v>
      </c>
      <c r="E171" s="33" t="str">
        <f>IF(CoDeSysIOs!C171=""," ",CoDeSysIOs!B171)</f>
        <v>SOP723_KM1</v>
      </c>
      <c r="F171" s="33" t="str">
        <f>IF(CoDeSysIOs!D171="","",CoDeSysIOs!G171)</f>
        <v>Digital</v>
      </c>
      <c r="J171" s="70" t="s">
        <v>527</v>
      </c>
    </row>
    <row r="172" ht="14.25" customHeight="1">
      <c r="A172" s="33" t="str">
        <f>IF(CoDeSysIOs!C172=""," ","CODESYSSPV3/3S/IecVarAccess")</f>
        <v>CODESYSSPV3/3S/IecVarAccess</v>
      </c>
      <c r="B172" s="33" t="str">
        <f>IF(CoDeSysIOs!C172=""," ","String")</f>
        <v>String</v>
      </c>
      <c r="C172" s="33" t="str">
        <f>IF(CoDeSysIOs!C172=""," ",J172&amp;""&amp;E172)</f>
        <v>|var|CODESYS Control Win V3 x64.Application.IOs.SOP723_KM2</v>
      </c>
      <c r="D172" s="33" t="str">
        <f>IF(CoDeSysIOs!B172="","",CoDeSysIOs!H172)</f>
        <v>Read</v>
      </c>
      <c r="E172" s="33" t="str">
        <f>IF(CoDeSysIOs!C172=""," ",CoDeSysIOs!B172)</f>
        <v>SOP723_KM2</v>
      </c>
      <c r="F172" s="33" t="str">
        <f>IF(CoDeSysIOs!D172="","",CoDeSysIOs!G172)</f>
        <v>Digital</v>
      </c>
      <c r="J172" s="70" t="s">
        <v>527</v>
      </c>
    </row>
    <row r="173" ht="14.25" customHeight="1">
      <c r="A173" s="33" t="str">
        <f>IF(CoDeSysIOs!C173=""," ","CODESYSSPV3/3S/IecVarAccess")</f>
        <v>CODESYSSPV3/3S/IecVarAccess</v>
      </c>
      <c r="B173" s="33" t="str">
        <f>IF(CoDeSysIOs!C173=""," ","String")</f>
        <v>String</v>
      </c>
      <c r="C173" s="33" t="str">
        <f>IF(CoDeSysIOs!C173=""," ",J173&amp;""&amp;E173)</f>
        <v>|var|CODESYS Control Win V3 x64.Application.IOs.SOP723_K1</v>
      </c>
      <c r="D173" s="33" t="str">
        <f>IF(CoDeSysIOs!B173="","",CoDeSysIOs!H173)</f>
        <v>Read</v>
      </c>
      <c r="E173" s="33" t="str">
        <f>IF(CoDeSysIOs!C173=""," ",CoDeSysIOs!B173)</f>
        <v>SOP723_K1</v>
      </c>
      <c r="F173" s="33" t="str">
        <f>IF(CoDeSysIOs!D173="","",CoDeSysIOs!G173)</f>
        <v>Digital</v>
      </c>
      <c r="J173" s="70" t="s">
        <v>527</v>
      </c>
    </row>
    <row r="174" ht="14.25" customHeight="1">
      <c r="A174" s="33" t="str">
        <f>IF(CoDeSysIOs!C174=""," ","CODESYSSPV3/3S/IecVarAccess")</f>
        <v> </v>
      </c>
      <c r="B174" s="33" t="str">
        <f>IF(CoDeSysIOs!C174=""," ","String")</f>
        <v> </v>
      </c>
      <c r="C174" s="33" t="str">
        <f>IF(CoDeSysIOs!C174=""," ",J174&amp;""&amp;E174)</f>
        <v> </v>
      </c>
      <c r="D174" s="33" t="str">
        <f>IF(CoDeSysIOs!B174="","",CoDeSysIOs!H174)</f>
        <v/>
      </c>
      <c r="E174" s="33" t="str">
        <f>IF(CoDeSysIOs!C174=""," ",CoDeSysIOs!B174)</f>
        <v> </v>
      </c>
      <c r="F174" s="33" t="str">
        <f>IF(CoDeSysIOs!D174="","",CoDeSysIOs!G174)</f>
        <v/>
      </c>
      <c r="J174" s="70" t="s">
        <v>527</v>
      </c>
    </row>
    <row r="175" ht="14.25" customHeight="1">
      <c r="A175" s="33" t="str">
        <f>IF(CoDeSysIOs!C175=""," ","CODESYSSPV3/3S/IecVarAccess")</f>
        <v>CODESYSSPV3/3S/IecVarAccess</v>
      </c>
      <c r="B175" s="33" t="str">
        <f>IF(CoDeSysIOs!C175=""," ","String")</f>
        <v>String</v>
      </c>
      <c r="C175" s="33" t="str">
        <f>IF(CoDeSysIOs!C175=""," ",J175&amp;""&amp;E175)</f>
        <v>|var|CODESYS Control Win V3 x64.Application.IOs.SOP723_K2</v>
      </c>
      <c r="D175" s="33" t="str">
        <f>IF(CoDeSysIOs!B175="","",CoDeSysIOs!H175)</f>
        <v>Read</v>
      </c>
      <c r="E175" s="33" t="str">
        <f>IF(CoDeSysIOs!C175=""," ",CoDeSysIOs!B175)</f>
        <v>SOP723_K2</v>
      </c>
      <c r="F175" s="33" t="str">
        <f>IF(CoDeSysIOs!D175="","",CoDeSysIOs!G175)</f>
        <v>Digital</v>
      </c>
      <c r="J175" s="70" t="s">
        <v>527</v>
      </c>
    </row>
    <row r="176" ht="14.25" customHeight="1">
      <c r="A176" s="33" t="str">
        <f>IF(CoDeSysIOs!C176=""," ","CODESYSSPV3/3S/IecVarAccess")</f>
        <v>CODESYSSPV3/3S/IecVarAccess</v>
      </c>
      <c r="B176" s="33" t="str">
        <f>IF(CoDeSysIOs!C176=""," ","String")</f>
        <v>String</v>
      </c>
      <c r="C176" s="33" t="str">
        <f>IF(CoDeSysIOs!C176=""," ",J176&amp;""&amp;E176)</f>
        <v>|var|CODESYS Control Win V3 x64.Application.IOs.SOP740_PickProduct</v>
      </c>
      <c r="D176" s="33" t="str">
        <f>IF(CoDeSysIOs!B176="","",CoDeSysIOs!H176)</f>
        <v>Read</v>
      </c>
      <c r="E176" s="33" t="str">
        <f>IF(CoDeSysIOs!C176=""," ",CoDeSysIOs!B176)</f>
        <v>SOP740_PickProduct</v>
      </c>
      <c r="F176" s="33" t="str">
        <f>IF(CoDeSysIOs!D176="","",CoDeSysIOs!G176)</f>
        <v>Digital</v>
      </c>
      <c r="J176" s="70" t="s">
        <v>527</v>
      </c>
    </row>
    <row r="177" ht="14.25" customHeight="1">
      <c r="A177" s="33" t="str">
        <f>IF(CoDeSysIOs!C177=""," ","CODESYSSPV3/3S/IecVarAccess")</f>
        <v>CODESYSSPV3/3S/IecVarAccess</v>
      </c>
      <c r="B177" s="33" t="str">
        <f>IF(CoDeSysIOs!C177=""," ","String")</f>
        <v>String</v>
      </c>
      <c r="C177" s="33" t="str">
        <f>IF(CoDeSysIOs!C177=""," ",J177&amp;""&amp;E177)</f>
        <v>|var|CODESYS Control Win V3 x64.Application.IOs.SOP750_K3</v>
      </c>
      <c r="D177" s="33" t="str">
        <f>IF(CoDeSysIOs!B177="","",CoDeSysIOs!H177)</f>
        <v>Read</v>
      </c>
      <c r="E177" s="33" t="str">
        <f>IF(CoDeSysIOs!C177=""," ",CoDeSysIOs!B177)</f>
        <v>SOP750_K3</v>
      </c>
      <c r="F177" s="33" t="str">
        <f>IF(CoDeSysIOs!D177="","",CoDeSysIOs!G177)</f>
        <v>Digital</v>
      </c>
      <c r="J177" s="70" t="s">
        <v>527</v>
      </c>
    </row>
    <row r="178" ht="14.25" customHeight="1">
      <c r="A178" s="33" t="str">
        <f>IF(CoDeSysIOs!C178=""," ","CODESYSSPV3/3S/IecVarAccess")</f>
        <v>CODESYSSPV3/3S/IecVarAccess</v>
      </c>
      <c r="B178" s="33" t="str">
        <f>IF(CoDeSysIOs!C178=""," ","String")</f>
        <v>String</v>
      </c>
      <c r="C178" s="33" t="str">
        <f>IF(CoDeSysIOs!C178=""," ",J178&amp;""&amp;E178)</f>
        <v>|var|CODESYS Control Win V3 x64.Application.IOs.SOP750_K4</v>
      </c>
      <c r="D178" s="33" t="str">
        <f>IF(CoDeSysIOs!B178="","",CoDeSysIOs!H178)</f>
        <v>Read</v>
      </c>
      <c r="E178" s="33" t="str">
        <f>IF(CoDeSysIOs!C178=""," ",CoDeSysIOs!B178)</f>
        <v>SOP750_K4</v>
      </c>
      <c r="F178" s="33" t="str">
        <f>IF(CoDeSysIOs!D178="","",CoDeSysIOs!G178)</f>
        <v>Digital</v>
      </c>
      <c r="J178" s="70" t="s">
        <v>527</v>
      </c>
    </row>
    <row r="179" ht="14.25" customHeight="1">
      <c r="A179" s="33" t="str">
        <f>IF(CoDeSysIOs!C179=""," ","CODESYSSPV3/3S/IecVarAccess")</f>
        <v>CODESYSSPV3/3S/IecVarAccess</v>
      </c>
      <c r="B179" s="33" t="str">
        <f>IF(CoDeSysIOs!C179=""," ","String")</f>
        <v>String</v>
      </c>
      <c r="C179" s="33" t="str">
        <f>IF(CoDeSysIOs!C179=""," ",J179&amp;""&amp;E179)</f>
        <v>|var|CODESYS Control Win V3 x64.Application.IOs.SOP750_K5</v>
      </c>
      <c r="D179" s="33" t="str">
        <f>IF(CoDeSysIOs!B179="","",CoDeSysIOs!H179)</f>
        <v>Read</v>
      </c>
      <c r="E179" s="33" t="str">
        <f>IF(CoDeSysIOs!C179=""," ",CoDeSysIOs!B179)</f>
        <v>SOP750_K5</v>
      </c>
      <c r="F179" s="33" t="str">
        <f>IF(CoDeSysIOs!D179="","",CoDeSysIOs!G179)</f>
        <v>Digital</v>
      </c>
      <c r="J179" s="70" t="s">
        <v>527</v>
      </c>
    </row>
    <row r="180" ht="14.25" customHeight="1">
      <c r="A180" s="33" t="str">
        <f>IF(CoDeSysIOs!C180=""," ","CODESYSSPV3/3S/IecVarAccess")</f>
        <v>CODESYSSPV3/3S/IecVarAccess</v>
      </c>
      <c r="B180" s="33" t="str">
        <f>IF(CoDeSysIOs!C180=""," ","String")</f>
        <v>String</v>
      </c>
      <c r="C180" s="33" t="str">
        <f>IF(CoDeSysIOs!C180=""," ",J180&amp;""&amp;E180)</f>
        <v>|var|CODESYS Control Win V3 x64.Application.IOs.SOP750_K6</v>
      </c>
      <c r="D180" s="33" t="str">
        <f>IF(CoDeSysIOs!B180="","",CoDeSysIOs!H180)</f>
        <v>Read</v>
      </c>
      <c r="E180" s="33" t="str">
        <f>IF(CoDeSysIOs!C180=""," ",CoDeSysIOs!B180)</f>
        <v>SOP750_K6</v>
      </c>
      <c r="F180" s="33" t="str">
        <f>IF(CoDeSysIOs!D180="","",CoDeSysIOs!G180)</f>
        <v>Digital</v>
      </c>
      <c r="J180" s="70" t="s">
        <v>527</v>
      </c>
    </row>
    <row r="181" ht="14.25" customHeight="1">
      <c r="A181" s="33" t="str">
        <f>IF(CoDeSysIOs!C181=""," ","CODESYSSPV3/3S/IecVarAccess")</f>
        <v>CODESYSSPV3/3S/IecVarAccess</v>
      </c>
      <c r="B181" s="33" t="str">
        <f>IF(CoDeSysIOs!C181=""," ","String")</f>
        <v>String</v>
      </c>
      <c r="C181" s="33" t="str">
        <f>IF(CoDeSysIOs!C181=""," ",J181&amp;""&amp;E181)</f>
        <v>|var|CODESYS Control Win V3 x64.Application.IOs.SOP700_Faulted</v>
      </c>
      <c r="D181" s="33" t="str">
        <f>IF(CoDeSysIOs!B181="","",CoDeSysIOs!H181)</f>
        <v>Read</v>
      </c>
      <c r="E181" s="33" t="str">
        <f>IF(CoDeSysIOs!C181=""," ",CoDeSysIOs!B181)</f>
        <v>SOP700_Faulted</v>
      </c>
      <c r="F181" s="33" t="str">
        <f>IF(CoDeSysIOs!D181="","",CoDeSysIOs!G181)</f>
        <v>Digital</v>
      </c>
      <c r="J181" s="70" t="s">
        <v>527</v>
      </c>
    </row>
    <row r="182" ht="14.25" customHeight="1">
      <c r="A182" s="33" t="str">
        <f>IF(CoDeSysIOs!C182=""," ","CODESYSSPV3/3S/IecVarAccess")</f>
        <v>CODESYSSPV3/3S/IecVarAccess</v>
      </c>
      <c r="B182" s="33" t="str">
        <f>IF(CoDeSysIOs!C182=""," ","String")</f>
        <v>String</v>
      </c>
      <c r="C182" s="33" t="str">
        <f>IF(CoDeSysIOs!C182=""," ",J182&amp;""&amp;E182)</f>
        <v>|var|CODESYS Control Win V3 x64.Application.IOs.SOP740_Pal_Pos_1</v>
      </c>
      <c r="D182" s="33" t="str">
        <f>IF(CoDeSysIOs!B182="","",CoDeSysIOs!H182)</f>
        <v>Read</v>
      </c>
      <c r="E182" s="33" t="str">
        <f>IF(CoDeSysIOs!C182=""," ",CoDeSysIOs!B182)</f>
        <v>SOP740_Pal_Pos_1</v>
      </c>
      <c r="F182" s="33" t="str">
        <f>IF(CoDeSysIOs!D182="","",CoDeSysIOs!G182)</f>
        <v>Digital</v>
      </c>
      <c r="J182" s="70" t="s">
        <v>527</v>
      </c>
    </row>
    <row r="183" ht="14.25" customHeight="1">
      <c r="A183" s="33" t="str">
        <f>IF(CoDeSysIOs!C183=""," ","CODESYSSPV3/3S/IecVarAccess")</f>
        <v>CODESYSSPV3/3S/IecVarAccess</v>
      </c>
      <c r="B183" s="33" t="str">
        <f>IF(CoDeSysIOs!C183=""," ","String")</f>
        <v>String</v>
      </c>
      <c r="C183" s="33" t="str">
        <f>IF(CoDeSysIOs!C183=""," ",J183&amp;""&amp;E183)</f>
        <v>|var|CODESYS Control Win V3 x64.Application.IOs.SOP740_Pal_Pos_2</v>
      </c>
      <c r="D183" s="33" t="str">
        <f>IF(CoDeSysIOs!B183="","",CoDeSysIOs!H183)</f>
        <v>Read</v>
      </c>
      <c r="E183" s="33" t="str">
        <f>IF(CoDeSysIOs!C183=""," ",CoDeSysIOs!B183)</f>
        <v>SOP740_Pal_Pos_2</v>
      </c>
      <c r="F183" s="33" t="str">
        <f>IF(CoDeSysIOs!D183="","",CoDeSysIOs!G183)</f>
        <v>Digital</v>
      </c>
      <c r="J183" s="70" t="s">
        <v>527</v>
      </c>
    </row>
    <row r="184" ht="14.25" customHeight="1">
      <c r="A184" s="33" t="str">
        <f>IF(CoDeSysIOs!C184=""," ","CODESYSSPV3/3S/IecVarAccess")</f>
        <v>CODESYSSPV3/3S/IecVarAccess</v>
      </c>
      <c r="B184" s="33" t="str">
        <f>IF(CoDeSysIOs!C184=""," ","String")</f>
        <v>String</v>
      </c>
      <c r="C184" s="33" t="str">
        <f>IF(CoDeSysIOs!C184=""," ",J184&amp;""&amp;E184)</f>
        <v>|var|CODESYS Control Win V3 x64.Application.IOs.SOP740_Pal_Pos_3</v>
      </c>
      <c r="D184" s="33" t="str">
        <f>IF(CoDeSysIOs!B184="","",CoDeSysIOs!H184)</f>
        <v>Read</v>
      </c>
      <c r="E184" s="33" t="str">
        <f>IF(CoDeSysIOs!C184=""," ",CoDeSysIOs!B184)</f>
        <v>SOP740_Pal_Pos_3</v>
      </c>
      <c r="F184" s="33" t="str">
        <f>IF(CoDeSysIOs!D184="","",CoDeSysIOs!G184)</f>
        <v>Digital</v>
      </c>
      <c r="J184" s="70" t="s">
        <v>527</v>
      </c>
    </row>
    <row r="185" ht="14.25" customHeight="1">
      <c r="A185" s="33" t="str">
        <f>IF(CoDeSysIOs!C185=""," ","CODESYSSPV3/3S/IecVarAccess")</f>
        <v>CODESYSSPV3/3S/IecVarAccess</v>
      </c>
      <c r="B185" s="33" t="str">
        <f>IF(CoDeSysIOs!C185=""," ","String")</f>
        <v>String</v>
      </c>
      <c r="C185" s="33" t="str">
        <f>IF(CoDeSysIOs!C185=""," ",J185&amp;""&amp;E185)</f>
        <v>|var|CODESYS Control Win V3 x64.Application.IOs.SOP723_RetirePallet</v>
      </c>
      <c r="D185" s="33" t="str">
        <f>IF(CoDeSysIOs!B185="","",CoDeSysIOs!H185)</f>
        <v>Read</v>
      </c>
      <c r="E185" s="33" t="str">
        <f>IF(CoDeSysIOs!C185=""," ",CoDeSysIOs!B185)</f>
        <v>SOP723_RetirePallet</v>
      </c>
      <c r="F185" s="33" t="str">
        <f>IF(CoDeSysIOs!D185="","",CoDeSysIOs!G185)</f>
        <v>Digital</v>
      </c>
      <c r="J185" s="70" t="s">
        <v>527</v>
      </c>
    </row>
    <row r="186" ht="14.25" customHeight="1">
      <c r="A186" s="33" t="str">
        <f>IF(CoDeSysIOs!C186=""," ","CODESYSSPV3/3S/IecVarAccess")</f>
        <v>CODESYSSPV3/3S/IecVarAccess</v>
      </c>
      <c r="B186" s="33" t="str">
        <f>IF(CoDeSysIOs!C186=""," ","String")</f>
        <v>String</v>
      </c>
      <c r="C186" s="33" t="str">
        <f>IF(CoDeSysIOs!C186=""," ",J186&amp;""&amp;E186)</f>
        <v>|var|CODESYS Control Win V3 x64.Application.IOs.Delete_Box</v>
      </c>
      <c r="D186" s="33" t="str">
        <f>IF(CoDeSysIOs!B186="","",CoDeSysIOs!H186)</f>
        <v>Read</v>
      </c>
      <c r="E186" s="33" t="str">
        <f>IF(CoDeSysIOs!C186=""," ",CoDeSysIOs!B186)</f>
        <v>Delete_Box</v>
      </c>
      <c r="F186" s="33" t="str">
        <f>IF(CoDeSysIOs!D186="","",CoDeSysIOs!G186)</f>
        <v>Digital</v>
      </c>
      <c r="J186" s="70" t="s">
        <v>527</v>
      </c>
    </row>
    <row r="187" ht="14.25" customHeight="1">
      <c r="A187" s="33" t="str">
        <f>IF(CoDeSysIOs!C187=""," ","CODESYSSPV3/3S/IecVarAccess")</f>
        <v> </v>
      </c>
      <c r="B187" s="33" t="str">
        <f>IF(CoDeSysIOs!C187=""," ","String")</f>
        <v> </v>
      </c>
      <c r="C187" s="33" t="str">
        <f>IF(CoDeSysIOs!C187=""," ",J187&amp;""&amp;E187)</f>
        <v> </v>
      </c>
      <c r="D187" s="33" t="str">
        <f>IF(CoDeSysIOs!B187="","",CoDeSysIOs!H187)</f>
        <v/>
      </c>
      <c r="E187" s="33" t="str">
        <f>IF(CoDeSysIOs!C187=""," ",CoDeSysIOs!B187)</f>
        <v> </v>
      </c>
      <c r="F187" s="33" t="str">
        <f>IF(CoDeSysIOs!D187="","",CoDeSysIOs!G187)</f>
        <v/>
      </c>
      <c r="J187" s="70" t="s">
        <v>527</v>
      </c>
    </row>
    <row r="188" ht="14.25" customHeight="1">
      <c r="A188" s="33" t="str">
        <f>IF(CoDeSysIOs!C188=""," ","CODESYSSPV3/3S/IecVarAccess")</f>
        <v> </v>
      </c>
      <c r="B188" s="33" t="str">
        <f>IF(CoDeSysIOs!C188=""," ","String")</f>
        <v> </v>
      </c>
      <c r="C188" s="33" t="str">
        <f>IF(CoDeSysIOs!C188=""," ",J188&amp;""&amp;E188)</f>
        <v> </v>
      </c>
      <c r="D188" s="33" t="str">
        <f>IF(CoDeSysIOs!B188="","",CoDeSysIOs!H188)</f>
        <v/>
      </c>
      <c r="E188" s="33" t="str">
        <f>IF(CoDeSysIOs!C188=""," ",CoDeSysIOs!B188)</f>
        <v> </v>
      </c>
      <c r="F188" s="33" t="str">
        <f>IF(CoDeSysIOs!D188="","",CoDeSysIOs!G188)</f>
        <v/>
      </c>
      <c r="J188" s="70" t="s">
        <v>527</v>
      </c>
    </row>
    <row r="189" ht="14.25" customHeight="1">
      <c r="A189" s="33" t="str">
        <f>IF(CoDeSysIOs!C189=""," ","CODESYSSPV3/3S/IecVarAccess")</f>
        <v> </v>
      </c>
      <c r="B189" s="33" t="str">
        <f>IF(CoDeSysIOs!C189=""," ","String")</f>
        <v> </v>
      </c>
      <c r="C189" s="33" t="str">
        <f>IF(CoDeSysIOs!C189=""," ",J189&amp;""&amp;E189)</f>
        <v> </v>
      </c>
      <c r="D189" s="33" t="str">
        <f>IF(CoDeSysIOs!B189="","",CoDeSysIOs!H189)</f>
        <v/>
      </c>
      <c r="E189" s="33" t="str">
        <f>IF(CoDeSysIOs!C189=""," ",CoDeSysIOs!B189)</f>
        <v> </v>
      </c>
      <c r="F189" s="33" t="str">
        <f>IF(CoDeSysIOs!D189="","",CoDeSysIOs!G189)</f>
        <v/>
      </c>
      <c r="J189" s="70" t="s">
        <v>527</v>
      </c>
    </row>
    <row r="190" ht="14.25" customHeight="1">
      <c r="A190" s="33" t="str">
        <f>IF(CoDeSysIOs!C190=""," ","CODESYSSPV3/3S/IecVarAccess")</f>
        <v> </v>
      </c>
      <c r="B190" s="33" t="str">
        <f>IF(CoDeSysIOs!C190=""," ","String")</f>
        <v> </v>
      </c>
      <c r="C190" s="33" t="str">
        <f>IF(CoDeSysIOs!C190=""," ",J190&amp;""&amp;E190)</f>
        <v> </v>
      </c>
      <c r="D190" s="33" t="str">
        <f>IF(CoDeSysIOs!B190="","",CoDeSysIOs!H190)</f>
        <v/>
      </c>
      <c r="E190" s="33" t="str">
        <f>IF(CoDeSysIOs!C190=""," ",CoDeSysIOs!B190)</f>
        <v> </v>
      </c>
      <c r="F190" s="33" t="str">
        <f>IF(CoDeSysIOs!D190="","",CoDeSysIOs!G190)</f>
        <v/>
      </c>
      <c r="J190" s="70" t="s">
        <v>527</v>
      </c>
    </row>
    <row r="191" ht="14.25" customHeight="1">
      <c r="A191" s="33" t="str">
        <f>IF(CoDeSysIOs!C191=""," ","CODESYSSPV3/3S/IecVarAccess")</f>
        <v> </v>
      </c>
      <c r="B191" s="33" t="str">
        <f>IF(CoDeSysIOs!C191=""," ","String")</f>
        <v> </v>
      </c>
      <c r="C191" s="33" t="str">
        <f>IF(CoDeSysIOs!C191=""," ",J191&amp;""&amp;E191)</f>
        <v> </v>
      </c>
      <c r="D191" s="33" t="str">
        <f>IF(CoDeSysIOs!B191="","",CoDeSysIOs!H191)</f>
        <v/>
      </c>
      <c r="E191" s="33" t="str">
        <f>IF(CoDeSysIOs!C191=""," ",CoDeSysIOs!B191)</f>
        <v> </v>
      </c>
      <c r="F191" s="33" t="str">
        <f>IF(CoDeSysIOs!D191="","",CoDeSysIOs!G191)</f>
        <v/>
      </c>
      <c r="J191" s="70" t="s">
        <v>527</v>
      </c>
    </row>
    <row r="192" ht="14.25" customHeight="1">
      <c r="A192" s="33" t="str">
        <f>IF(CoDeSysIOs!C192=""," ","CODESYSSPV3/3S/IecVarAccess")</f>
        <v>CODESYSSPV3/3S/IecVarAccess</v>
      </c>
      <c r="B192" s="33" t="str">
        <f>IF(CoDeSysIOs!C192=""," ","String")</f>
        <v>String</v>
      </c>
      <c r="C192" s="33" t="str">
        <f>IF(CoDeSysIOs!C192=""," ",J192&amp;""&amp;E192)</f>
        <v>|var|CODESYS Control Win V3 x64.Application.IOs.SOP700_H1</v>
      </c>
      <c r="D192" s="33" t="str">
        <f>IF(CoDeSysIOs!B192="","",CoDeSysIOs!H192)</f>
        <v>Read</v>
      </c>
      <c r="E192" s="33" t="str">
        <f>IF(CoDeSysIOs!C192=""," ",CoDeSysIOs!B192)</f>
        <v>SOP700_H1</v>
      </c>
      <c r="F192" s="33" t="str">
        <f>IF(CoDeSysIOs!D192="","",CoDeSysIOs!G192)</f>
        <v>Digital</v>
      </c>
      <c r="J192" s="70" t="s">
        <v>527</v>
      </c>
    </row>
    <row r="193" ht="14.25" customHeight="1">
      <c r="A193" s="33" t="str">
        <f>IF(CoDeSysIOs!C193=""," ","CODESYSSPV3/3S/IecVarAccess")</f>
        <v> </v>
      </c>
      <c r="B193" s="33" t="str">
        <f>IF(CoDeSysIOs!C193=""," ","String")</f>
        <v> </v>
      </c>
      <c r="C193" s="33" t="str">
        <f>IF(CoDeSysIOs!C193=""," ",J193&amp;""&amp;E193)</f>
        <v> </v>
      </c>
      <c r="D193" s="33" t="str">
        <f>IF(CoDeSysIOs!B193="","",CoDeSysIOs!H193)</f>
        <v/>
      </c>
      <c r="E193" s="33" t="str">
        <f>IF(CoDeSysIOs!C193=""," ",CoDeSysIOs!B193)</f>
        <v> </v>
      </c>
      <c r="F193" s="33" t="str">
        <f>IF(CoDeSysIOs!D193="","",CoDeSysIOs!G193)</f>
        <v/>
      </c>
      <c r="J193" s="70" t="s">
        <v>527</v>
      </c>
    </row>
    <row r="194" ht="14.25" customHeight="1">
      <c r="A194" s="33" t="str">
        <f>IF(CoDeSysIOs!C194=""," ","CODESYSSPV3/3S/IecVarAccess")</f>
        <v> </v>
      </c>
      <c r="B194" s="33" t="str">
        <f>IF(CoDeSysIOs!C194=""," ","String")</f>
        <v> </v>
      </c>
      <c r="C194" s="33" t="str">
        <f>IF(CoDeSysIOs!C194=""," ",J194&amp;""&amp;E194)</f>
        <v> </v>
      </c>
      <c r="D194" s="33" t="str">
        <f>IF(CoDeSysIOs!B194="","",CoDeSysIOs!H194)</f>
        <v/>
      </c>
      <c r="E194" s="33" t="str">
        <f>IF(CoDeSysIOs!C194=""," ",CoDeSysIOs!B194)</f>
        <v> </v>
      </c>
      <c r="F194" s="33" t="str">
        <f>IF(CoDeSysIOs!D194="","",CoDeSysIOs!G194)</f>
        <v/>
      </c>
      <c r="J194" s="70" t="s">
        <v>527</v>
      </c>
    </row>
    <row r="195" ht="14.25" customHeight="1">
      <c r="A195" s="33" t="str">
        <f>IF(CoDeSysIOs!C195=""," ","CODESYSSPV3/3S/IecVarAccess")</f>
        <v>CODESYSSPV3/3S/IecVarAccess</v>
      </c>
      <c r="B195" s="33" t="str">
        <f>IF(CoDeSysIOs!C195=""," ","String")</f>
        <v>String</v>
      </c>
      <c r="C195" s="33" t="str">
        <f>IF(CoDeSysIOs!C195=""," ",J195&amp;""&amp;E195)</f>
        <v>|var|CODESYS Control Win V3 x64.Application.IOs.SOP700_H4</v>
      </c>
      <c r="D195" s="33" t="str">
        <f>IF(CoDeSysIOs!B195="","",CoDeSysIOs!H195)</f>
        <v>Read</v>
      </c>
      <c r="E195" s="33" t="str">
        <f>IF(CoDeSysIOs!C195=""," ",CoDeSysIOs!B195)</f>
        <v>SOP700_H4</v>
      </c>
      <c r="F195" s="33" t="str">
        <f>IF(CoDeSysIOs!D195="","",CoDeSysIOs!G195)</f>
        <v>Digital</v>
      </c>
      <c r="J195" s="70" t="s">
        <v>527</v>
      </c>
    </row>
    <row r="196" ht="14.25" customHeight="1">
      <c r="A196" s="33" t="str">
        <f>IF(CoDeSysIOs!C196=""," ","CODESYSSPV3/3S/IecVarAccess")</f>
        <v> </v>
      </c>
      <c r="B196" s="33" t="str">
        <f>IF(CoDeSysIOs!C196=""," ","String")</f>
        <v> </v>
      </c>
      <c r="C196" s="33" t="str">
        <f>IF(CoDeSysIOs!C196=""," ",J196&amp;""&amp;E196)</f>
        <v> </v>
      </c>
      <c r="D196" s="33" t="str">
        <f>IF(CoDeSysIOs!B196="","",CoDeSysIOs!H196)</f>
        <v/>
      </c>
      <c r="E196" s="33" t="str">
        <f>IF(CoDeSysIOs!C196=""," ",CoDeSysIOs!B196)</f>
        <v> </v>
      </c>
      <c r="F196" s="33" t="str">
        <f>IF(CoDeSysIOs!D196="","",CoDeSysIOs!G196)</f>
        <v/>
      </c>
      <c r="J196" s="70" t="s">
        <v>527</v>
      </c>
    </row>
    <row r="197" ht="14.25" customHeight="1">
      <c r="A197" s="33" t="str">
        <f>IF(CoDeSysIOs!C197=""," ","CODESYSSPV3/3S/IecVarAccess")</f>
        <v> </v>
      </c>
      <c r="B197" s="33" t="str">
        <f>IF(CoDeSysIOs!C197=""," ","String")</f>
        <v> </v>
      </c>
      <c r="C197" s="33" t="str">
        <f>IF(CoDeSysIOs!C197=""," ",J197&amp;""&amp;E197)</f>
        <v> </v>
      </c>
      <c r="D197" s="33" t="str">
        <f>IF(CoDeSysIOs!B197="","",CoDeSysIOs!H197)</f>
        <v/>
      </c>
      <c r="E197" s="33" t="str">
        <f>IF(CoDeSysIOs!C197=""," ",CoDeSysIOs!B197)</f>
        <v> </v>
      </c>
      <c r="F197" s="33" t="str">
        <f>IF(CoDeSysIOs!D197="","",CoDeSysIOs!G197)</f>
        <v/>
      </c>
      <c r="J197" s="70" t="s">
        <v>527</v>
      </c>
    </row>
    <row r="198" ht="14.25" customHeight="1">
      <c r="A198" s="33" t="str">
        <f>IF(CoDeSysIOs!C198=""," ","CODESYSSPV3/3S/IecVarAccess")</f>
        <v>CODESYSSPV3/3S/IecVarAccess</v>
      </c>
      <c r="B198" s="33" t="str">
        <f>IF(CoDeSysIOs!C198=""," ","String")</f>
        <v>String</v>
      </c>
      <c r="C198" s="33" t="str">
        <f>IF(CoDeSysIOs!C198=""," ",J198&amp;""&amp;E198)</f>
        <v>|var|CODESYS Control Win V3 x64.Application.IOs.SOP700_H7</v>
      </c>
      <c r="D198" s="33" t="str">
        <f>IF(CoDeSysIOs!B198="","",CoDeSysIOs!H198)</f>
        <v>Read</v>
      </c>
      <c r="E198" s="33" t="str">
        <f>IF(CoDeSysIOs!C198=""," ",CoDeSysIOs!B198)</f>
        <v>SOP700_H7</v>
      </c>
      <c r="F198" s="33" t="str">
        <f>IF(CoDeSysIOs!D198="","",CoDeSysIOs!G198)</f>
        <v>Digital</v>
      </c>
      <c r="J198" s="70" t="s">
        <v>527</v>
      </c>
    </row>
    <row r="199" ht="14.25" customHeight="1">
      <c r="A199" s="33" t="str">
        <f>IF(CoDeSysIOs!C199=""," ","CODESYSSPV3/3S/IecVarAccess")</f>
        <v> </v>
      </c>
      <c r="B199" s="33" t="str">
        <f>IF(CoDeSysIOs!C199=""," ","String")</f>
        <v> </v>
      </c>
      <c r="C199" s="33" t="str">
        <f>IF(CoDeSysIOs!C199=""," ",J199&amp;""&amp;E199)</f>
        <v> </v>
      </c>
      <c r="D199" s="33" t="str">
        <f>IF(CoDeSysIOs!B199="","",CoDeSysIOs!H199)</f>
        <v/>
      </c>
      <c r="E199" s="33" t="str">
        <f>IF(CoDeSysIOs!C199=""," ",CoDeSysIOs!B199)</f>
        <v> </v>
      </c>
      <c r="F199" s="33" t="str">
        <f>IF(CoDeSysIOs!D199="","",CoDeSysIOs!G199)</f>
        <v/>
      </c>
      <c r="J199" s="70" t="s">
        <v>527</v>
      </c>
    </row>
    <row r="200" ht="14.25" customHeight="1">
      <c r="A200" s="33" t="str">
        <f>IF(CoDeSysIOs!C200=""," ","CODESYSSPV3/3S/IecVarAccess")</f>
        <v> </v>
      </c>
      <c r="B200" s="33" t="str">
        <f>IF(CoDeSysIOs!C200=""," ","String")</f>
        <v> </v>
      </c>
      <c r="C200" s="33" t="str">
        <f>IF(CoDeSysIOs!C200=""," ",J200&amp;""&amp;E200)</f>
        <v> </v>
      </c>
      <c r="D200" s="33" t="str">
        <f>IF(CoDeSysIOs!B200="","",CoDeSysIOs!H200)</f>
        <v/>
      </c>
      <c r="E200" s="33" t="str">
        <f>IF(CoDeSysIOs!C200=""," ",CoDeSysIOs!B200)</f>
        <v> </v>
      </c>
      <c r="F200" s="33" t="str">
        <f>IF(CoDeSysIOs!D200="","",CoDeSysIOs!G200)</f>
        <v/>
      </c>
      <c r="J200" s="70" t="s">
        <v>527</v>
      </c>
    </row>
    <row r="201" ht="14.25" customHeight="1">
      <c r="A201" s="33" t="str">
        <f>IF(CoDeSysIOs!C201=""," ","CODESYSSPV3/3S/IecVarAccess")</f>
        <v>CODESYSSPV3/3S/IecVarAccess</v>
      </c>
      <c r="B201" s="33" t="str">
        <f>IF(CoDeSysIOs!C201=""," ","String")</f>
        <v>String</v>
      </c>
      <c r="C201" s="33" t="str">
        <f>IF(CoDeSysIOs!C201=""," ",J201&amp;""&amp;E201)</f>
        <v>|var|CODESYS Control Win V3 x64.Application.IOs.SOP700_H10</v>
      </c>
      <c r="D201" s="33" t="str">
        <f>IF(CoDeSysIOs!B201="","",CoDeSysIOs!H201)</f>
        <v>Read</v>
      </c>
      <c r="E201" s="33" t="str">
        <f>IF(CoDeSysIOs!C201=""," ",CoDeSysIOs!B201)</f>
        <v>SOP700_H10</v>
      </c>
      <c r="F201" s="33" t="str">
        <f>IF(CoDeSysIOs!D201="","",CoDeSysIOs!G201)</f>
        <v>Digital</v>
      </c>
      <c r="J201" s="70" t="s">
        <v>527</v>
      </c>
    </row>
    <row r="202" ht="14.25" customHeight="1">
      <c r="A202" s="33" t="str">
        <f>IF(CoDeSysIOs!C202=""," ","CODESYSSPV3/3S/IecVarAccess")</f>
        <v>CODESYSSPV3/3S/IecVarAccess</v>
      </c>
      <c r="B202" s="33" t="str">
        <f>IF(CoDeSysIOs!C202=""," ","String")</f>
        <v>String</v>
      </c>
      <c r="C202" s="33" t="str">
        <f>IF(CoDeSysIOs!C202=""," ",J202&amp;""&amp;E202)</f>
        <v>|var|CODESYS Control Win V3 x64.Application.IOs.SOP700_H11</v>
      </c>
      <c r="D202" s="33" t="str">
        <f>IF(CoDeSysIOs!B202="","",CoDeSysIOs!H202)</f>
        <v>Read</v>
      </c>
      <c r="E202" s="33" t="str">
        <f>IF(CoDeSysIOs!C202=""," ",CoDeSysIOs!B202)</f>
        <v>SOP700_H11</v>
      </c>
      <c r="F202" s="33" t="str">
        <f>IF(CoDeSysIOs!D202="","",CoDeSysIOs!G202)</f>
        <v>Digital</v>
      </c>
      <c r="J202" s="70" t="s">
        <v>527</v>
      </c>
    </row>
    <row r="203" ht="14.25" customHeight="1">
      <c r="A203" s="33" t="str">
        <f>IF(CoDeSysIOs!C203=""," ","CODESYSSPV3/3S/IecVarAccess")</f>
        <v>CODESYSSPV3/3S/IecVarAccess</v>
      </c>
      <c r="B203" s="33" t="str">
        <f>IF(CoDeSysIOs!C203=""," ","String")</f>
        <v>String</v>
      </c>
      <c r="C203" s="33" t="str">
        <f>IF(CoDeSysIOs!C203=""," ",J203&amp;""&amp;E203)</f>
        <v>|var|CODESYS Control Win V3 x64.Application.IOs.SOP700_H14</v>
      </c>
      <c r="D203" s="33" t="str">
        <f>IF(CoDeSysIOs!B203="","",CoDeSysIOs!H203)</f>
        <v>Read</v>
      </c>
      <c r="E203" s="33" t="str">
        <f>IF(CoDeSysIOs!C203=""," ",CoDeSysIOs!B203)</f>
        <v>SOP700_H14</v>
      </c>
      <c r="F203" s="33" t="str">
        <f>IF(CoDeSysIOs!D203="","",CoDeSysIOs!G203)</f>
        <v>Digital</v>
      </c>
      <c r="J203" s="70" t="s">
        <v>527</v>
      </c>
    </row>
    <row r="204" ht="14.25" customHeight="1">
      <c r="A204" s="33" t="str">
        <f>IF(CoDeSysIOs!C204=""," ","CODESYSSPV3/3S/IecVarAccess")</f>
        <v>CODESYSSPV3/3S/IecVarAccess</v>
      </c>
      <c r="B204" s="33" t="str">
        <f>IF(CoDeSysIOs!C204=""," ","String")</f>
        <v>String</v>
      </c>
      <c r="C204" s="33" t="str">
        <f>IF(CoDeSysIOs!C204=""," ",J204&amp;""&amp;E204)</f>
        <v>|var|CODESYS Control Win V3 x64.Application.IOs.SOP700_H15</v>
      </c>
      <c r="D204" s="33" t="str">
        <f>IF(CoDeSysIOs!B204="","",CoDeSysIOs!H204)</f>
        <v>Read</v>
      </c>
      <c r="E204" s="33" t="str">
        <f>IF(CoDeSysIOs!C204=""," ",CoDeSysIOs!B204)</f>
        <v>SOP700_H15</v>
      </c>
      <c r="F204" s="33" t="str">
        <f>IF(CoDeSysIOs!D204="","",CoDeSysIOs!G204)</f>
        <v>Digital</v>
      </c>
      <c r="J204" s="70" t="s">
        <v>527</v>
      </c>
    </row>
    <row r="205" ht="14.25" customHeight="1">
      <c r="A205" s="33" t="str">
        <f>IF(CoDeSysIOs!C205=""," ","CODESYSSPV3/3S/IecVarAccess")</f>
        <v>CODESYSSPV3/3S/IecVarAccess</v>
      </c>
      <c r="B205" s="33" t="str">
        <f>IF(CoDeSysIOs!C205=""," ","String")</f>
        <v>String</v>
      </c>
      <c r="C205" s="33" t="str">
        <f>IF(CoDeSysIOs!C205=""," ",J205&amp;""&amp;E205)</f>
        <v>|var|CODESYS Control Win V3 x64.Application.IOs.SOP700_H16</v>
      </c>
      <c r="D205" s="33" t="str">
        <f>IF(CoDeSysIOs!B205="","",CoDeSysIOs!H205)</f>
        <v>Read</v>
      </c>
      <c r="E205" s="33" t="str">
        <f>IF(CoDeSysIOs!C205=""," ",CoDeSysIOs!B205)</f>
        <v>SOP700_H16</v>
      </c>
      <c r="F205" s="33" t="str">
        <f>IF(CoDeSysIOs!D205="","",CoDeSysIOs!G205)</f>
        <v>Digital</v>
      </c>
      <c r="J205" s="70" t="s">
        <v>527</v>
      </c>
    </row>
    <row r="206" ht="14.25" customHeight="1">
      <c r="A206" s="33" t="str">
        <f>IF(CoDeSysIOs!C206=""," ","CODESYSSPV3/3S/IecVarAccess")</f>
        <v>CODESYSSPV3/3S/IecVarAccess</v>
      </c>
      <c r="B206" s="33" t="str">
        <f>IF(CoDeSysIOs!C206=""," ","String")</f>
        <v>String</v>
      </c>
      <c r="C206" s="33" t="str">
        <f>IF(CoDeSysIOs!C206=""," ",J206&amp;""&amp;E206)</f>
        <v>|var|CODESYS Control Win V3 x64.Application.IOs.SOP700_H12</v>
      </c>
      <c r="D206" s="33" t="str">
        <f>IF(CoDeSysIOs!B206="","",CoDeSysIOs!H206)</f>
        <v>Read</v>
      </c>
      <c r="E206" s="33" t="str">
        <f>IF(CoDeSysIOs!C206=""," ",CoDeSysIOs!B206)</f>
        <v>SOP700_H12</v>
      </c>
      <c r="F206" s="33" t="str">
        <f>IF(CoDeSysIOs!D206="","",CoDeSysIOs!G206)</f>
        <v>Digital</v>
      </c>
      <c r="J206" s="70" t="s">
        <v>527</v>
      </c>
    </row>
    <row r="207" ht="14.25" customHeight="1">
      <c r="A207" s="33" t="str">
        <f>IF(CoDeSysIOs!C207=""," ","CODESYSSPV3/3S/IecVarAccess")</f>
        <v> </v>
      </c>
      <c r="B207" s="33" t="str">
        <f>IF(CoDeSysIOs!C207=""," ","String")</f>
        <v> </v>
      </c>
      <c r="C207" s="33" t="str">
        <f>IF(CoDeSysIOs!C207=""," ",J207&amp;""&amp;E207)</f>
        <v> </v>
      </c>
      <c r="D207" s="33" t="str">
        <f>IF(CoDeSysIOs!B207="","",CoDeSysIOs!H207)</f>
        <v/>
      </c>
      <c r="E207" s="33" t="str">
        <f>IF(CoDeSysIOs!C207=""," ",CoDeSysIOs!B207)</f>
        <v> </v>
      </c>
      <c r="F207" s="33" t="str">
        <f>IF(CoDeSysIOs!D207="","",CoDeSysIOs!G207)</f>
        <v/>
      </c>
      <c r="J207" s="70" t="s">
        <v>527</v>
      </c>
    </row>
    <row r="208" ht="14.25" customHeight="1">
      <c r="A208" s="33" t="str">
        <f>IF(CoDeSysIOs!C208=""," ","CODESYSSPV3/3S/IecVarAccess")</f>
        <v> </v>
      </c>
      <c r="B208" s="33" t="str">
        <f>IF(CoDeSysIOs!C208=""," ","String")</f>
        <v> </v>
      </c>
      <c r="C208" s="33" t="str">
        <f>IF(CoDeSysIOs!C208=""," ",J208&amp;""&amp;E208)</f>
        <v> </v>
      </c>
      <c r="D208" s="33" t="str">
        <f>IF(CoDeSysIOs!B208="","",CoDeSysIOs!H208)</f>
        <v/>
      </c>
      <c r="E208" s="33" t="str">
        <f>IF(CoDeSysIOs!C208=""," ",CoDeSysIOs!B208)</f>
        <v> </v>
      </c>
      <c r="F208" s="33" t="str">
        <f>IF(CoDeSysIOs!D208="","",CoDeSysIOs!G208)</f>
        <v/>
      </c>
      <c r="J208" s="70" t="s">
        <v>527</v>
      </c>
    </row>
    <row r="209" ht="14.25" customHeight="1">
      <c r="A209" s="33" t="str">
        <f>IF(CoDeSysIOs!C209=""," ","CODESYSSPV3/3S/IecVarAccess")</f>
        <v>CODESYSSPV3/3S/IecVarAccess</v>
      </c>
      <c r="B209" s="33" t="str">
        <f>IF(CoDeSysIOs!C209=""," ","String")</f>
        <v>String</v>
      </c>
      <c r="C209" s="33" t="str">
        <f>IF(CoDeSysIOs!C209=""," ",J209&amp;""&amp;E209)</f>
        <v>|var|CODESYS Control Win V3 x64.Application.IOs.Box_MB16_Acc</v>
      </c>
      <c r="D209" s="33" t="str">
        <f>IF(CoDeSysIOs!B209="","",CoDeSysIOs!H209)</f>
        <v>Read</v>
      </c>
      <c r="E209" s="33" t="str">
        <f>IF(CoDeSysIOs!C209=""," ",CoDeSysIOs!B209)</f>
        <v>Box_MB16_Acc</v>
      </c>
      <c r="F209" s="33" t="str">
        <f>IF(CoDeSysIOs!D209="","",CoDeSysIOs!G209)</f>
        <v>Digital</v>
      </c>
      <c r="J209" s="70" t="s">
        <v>527</v>
      </c>
    </row>
    <row r="210" ht="14.25" customHeight="1">
      <c r="A210" s="33" t="str">
        <f>IF(CoDeSysIOs!C210=""," ","CODESYSSPV3/3S/IecVarAccess")</f>
        <v>CODESYSSPV3/3S/IecVarAccess</v>
      </c>
      <c r="B210" s="33" t="str">
        <f>IF(CoDeSysIOs!C210=""," ","String")</f>
        <v>String</v>
      </c>
      <c r="C210" s="33" t="str">
        <f>IF(CoDeSysIOs!C210=""," ",J210&amp;""&amp;E210)</f>
        <v>|var|CODESYS Control Win V3 x64.Application.IOs.Box_MB16T_Acc</v>
      </c>
      <c r="D210" s="33" t="str">
        <f>IF(CoDeSysIOs!B210="","",CoDeSysIOs!H210)</f>
        <v>Read</v>
      </c>
      <c r="E210" s="33" t="str">
        <f>IF(CoDeSysIOs!C210=""," ",CoDeSysIOs!B210)</f>
        <v>Box_MB16T_Acc</v>
      </c>
      <c r="F210" s="33" t="str">
        <f>IF(CoDeSysIOs!D210="","",CoDeSysIOs!G210)</f>
        <v>Digital</v>
      </c>
      <c r="J210" s="70" t="s">
        <v>527</v>
      </c>
    </row>
    <row r="211" ht="14.25" customHeight="1">
      <c r="A211" s="33" t="str">
        <f>IF(CoDeSysIOs!C211=""," ","CODESYSSPV3/3S/IecVarAccess")</f>
        <v>CODESYSSPV3/3S/IecVarAccess</v>
      </c>
      <c r="B211" s="33" t="str">
        <f>IF(CoDeSysIOs!C211=""," ","String")</f>
        <v>String</v>
      </c>
      <c r="C211" s="33" t="str">
        <f>IF(CoDeSysIOs!C211=""," ",J211&amp;""&amp;E211)</f>
        <v>|var|CODESYS Control Win V3 x64.Application.IOs.Box_MB20_Acc</v>
      </c>
      <c r="D211" s="33" t="str">
        <f>IF(CoDeSysIOs!B211="","",CoDeSysIOs!H211)</f>
        <v>Read</v>
      </c>
      <c r="E211" s="33" t="str">
        <f>IF(CoDeSysIOs!C211=""," ",CoDeSysIOs!B211)</f>
        <v>Box_MB20_Acc</v>
      </c>
      <c r="F211" s="33" t="str">
        <f>IF(CoDeSysIOs!D211="","",CoDeSysIOs!G211)</f>
        <v>Digital</v>
      </c>
      <c r="J211" s="70" t="s">
        <v>527</v>
      </c>
    </row>
    <row r="212" ht="14.25" customHeight="1">
      <c r="A212" s="33" t="str">
        <f>IF(CoDeSysIOs!C212=""," ","CODESYSSPV3/3S/IecVarAccess")</f>
        <v>CODESYSSPV3/3S/IecVarAccess</v>
      </c>
      <c r="B212" s="33" t="str">
        <f>IF(CoDeSysIOs!C212=""," ","String")</f>
        <v>String</v>
      </c>
      <c r="C212" s="33" t="str">
        <f>IF(CoDeSysIOs!C212=""," ",J212&amp;""&amp;E212)</f>
        <v>|var|CODESYS Control Win V3 x64.Application.IOs.Box_MB24_Acc</v>
      </c>
      <c r="D212" s="33" t="str">
        <f>IF(CoDeSysIOs!B212="","",CoDeSysIOs!H212)</f>
        <v>Read</v>
      </c>
      <c r="E212" s="33" t="str">
        <f>IF(CoDeSysIOs!C212=""," ",CoDeSysIOs!B212)</f>
        <v>Box_MB24_Acc</v>
      </c>
      <c r="F212" s="33" t="str">
        <f>IF(CoDeSysIOs!D212="","",CoDeSysIOs!G212)</f>
        <v>Digital</v>
      </c>
      <c r="J212" s="70" t="s">
        <v>527</v>
      </c>
    </row>
    <row r="213" ht="14.25" customHeight="1">
      <c r="A213" s="33" t="str">
        <f>IF(CoDeSysIOs!C213=""," ","CODESYSSPV3/3S/IecVarAccess")</f>
        <v>CODESYSSPV3/3S/IecVarAccess</v>
      </c>
      <c r="B213" s="33" t="str">
        <f>IF(CoDeSysIOs!C213=""," ","String")</f>
        <v>String</v>
      </c>
      <c r="C213" s="33" t="str">
        <f>IF(CoDeSysIOs!C213=""," ",J213&amp;""&amp;E213)</f>
        <v>|var|CODESYS Control Win V3 x64.Application.IOs.Box_MB16_Rej</v>
      </c>
      <c r="D213" s="33" t="str">
        <f>IF(CoDeSysIOs!B213="","",CoDeSysIOs!H213)</f>
        <v>Read</v>
      </c>
      <c r="E213" s="33" t="str">
        <f>IF(CoDeSysIOs!C213=""," ",CoDeSysIOs!B213)</f>
        <v>Box_MB16_Rej</v>
      </c>
      <c r="F213" s="33" t="str">
        <f>IF(CoDeSysIOs!D213="","",CoDeSysIOs!G213)</f>
        <v>Digital</v>
      </c>
      <c r="J213" s="70" t="s">
        <v>527</v>
      </c>
    </row>
    <row r="214" ht="14.25" customHeight="1">
      <c r="A214" s="33" t="str">
        <f>IF(CoDeSysIOs!C214=""," ","CODESYSSPV3/3S/IecVarAccess")</f>
        <v>CODESYSSPV3/3S/IecVarAccess</v>
      </c>
      <c r="B214" s="33" t="str">
        <f>IF(CoDeSysIOs!C214=""," ","String")</f>
        <v>String</v>
      </c>
      <c r="C214" s="33" t="str">
        <f>IF(CoDeSysIOs!C214=""," ",J214&amp;""&amp;E214)</f>
        <v>|var|CODESYS Control Win V3 x64.Application.IOs.Box_MB16T_Rej</v>
      </c>
      <c r="D214" s="33" t="str">
        <f>IF(CoDeSysIOs!B214="","",CoDeSysIOs!H214)</f>
        <v>Read</v>
      </c>
      <c r="E214" s="33" t="str">
        <f>IF(CoDeSysIOs!C214=""," ",CoDeSysIOs!B214)</f>
        <v>Box_MB16T_Rej</v>
      </c>
      <c r="F214" s="33" t="str">
        <f>IF(CoDeSysIOs!D214="","",CoDeSysIOs!G214)</f>
        <v>Digital</v>
      </c>
      <c r="J214" s="70" t="s">
        <v>527</v>
      </c>
    </row>
    <row r="215" ht="14.25" customHeight="1">
      <c r="A215" s="33" t="str">
        <f>IF(CoDeSysIOs!C215=""," ","CODESYSSPV3/3S/IecVarAccess")</f>
        <v>CODESYSSPV3/3S/IecVarAccess</v>
      </c>
      <c r="B215" s="33" t="str">
        <f>IF(CoDeSysIOs!C215=""," ","String")</f>
        <v>String</v>
      </c>
      <c r="C215" s="33" t="str">
        <f>IF(CoDeSysIOs!C215=""," ",J215&amp;""&amp;E215)</f>
        <v>|var|CODESYS Control Win V3 x64.Application.IOs.Box_MB20_Rej</v>
      </c>
      <c r="D215" s="33" t="str">
        <f>IF(CoDeSysIOs!B215="","",CoDeSysIOs!H215)</f>
        <v>Read</v>
      </c>
      <c r="E215" s="33" t="str">
        <f>IF(CoDeSysIOs!C215=""," ",CoDeSysIOs!B215)</f>
        <v>Box_MB20_Rej</v>
      </c>
      <c r="F215" s="33" t="str">
        <f>IF(CoDeSysIOs!D215="","",CoDeSysIOs!G215)</f>
        <v>Digital</v>
      </c>
      <c r="J215" s="70" t="s">
        <v>527</v>
      </c>
    </row>
    <row r="216" ht="14.25" customHeight="1">
      <c r="A216" s="33" t="str">
        <f>IF(CoDeSysIOs!C216=""," ","CODESYSSPV3/3S/IecVarAccess")</f>
        <v>CODESYSSPV3/3S/IecVarAccess</v>
      </c>
      <c r="B216" s="33" t="str">
        <f>IF(CoDeSysIOs!C216=""," ","String")</f>
        <v>String</v>
      </c>
      <c r="C216" s="33" t="str">
        <f>IF(CoDeSysIOs!C216=""," ",J216&amp;""&amp;E216)</f>
        <v>|var|CODESYS Control Win V3 x64.Application.IOs.Box_MB24_Rej</v>
      </c>
      <c r="D216" s="33" t="str">
        <f>IF(CoDeSysIOs!B216="","",CoDeSysIOs!H216)</f>
        <v>Read</v>
      </c>
      <c r="E216" s="33" t="str">
        <f>IF(CoDeSysIOs!C216=""," ",CoDeSysIOs!B216)</f>
        <v>Box_MB24_Rej</v>
      </c>
      <c r="F216" s="33" t="str">
        <f>IF(CoDeSysIOs!D216="","",CoDeSysIOs!G216)</f>
        <v>Digital</v>
      </c>
      <c r="J216" s="70" t="s">
        <v>527</v>
      </c>
    </row>
    <row r="217" ht="14.25" customHeight="1">
      <c r="A217" s="33" t="str">
        <f>IF(CoDeSysIOs!C217=""," ","CODESYSSPV3/3S/IecVarAccess")</f>
        <v>CODESYSSPV3/3S/IecVarAccess</v>
      </c>
      <c r="B217" s="33" t="str">
        <f>IF(CoDeSysIOs!C217=""," ","String")</f>
        <v>String</v>
      </c>
      <c r="C217" s="33" t="str">
        <f>IF(CoDeSysIOs!C217=""," ",J217&amp;""&amp;E217)</f>
        <v>|var|CODESYS Control Win V3 x64.Application.IOs.Pallet_Creation</v>
      </c>
      <c r="D217" s="33" t="str">
        <f>IF(CoDeSysIOs!B217="","",CoDeSysIOs!H217)</f>
        <v>Read</v>
      </c>
      <c r="E217" s="33" t="str">
        <f>IF(CoDeSysIOs!C217=""," ",CoDeSysIOs!B217)</f>
        <v>Pallet_Creation</v>
      </c>
      <c r="F217" s="33" t="str">
        <f>IF(CoDeSysIOs!D217="","",CoDeSysIOs!G217)</f>
        <v>Digital</v>
      </c>
      <c r="J217" s="70" t="s">
        <v>527</v>
      </c>
    </row>
    <row r="218" ht="14.25" customHeight="1">
      <c r="A218" s="33" t="str">
        <f>IF(CoDeSysIOs!C218=""," ","CODESYSSPV3/3S/IecVarAccess")</f>
        <v>CODESYSSPV3/3S/IecVarAccess</v>
      </c>
      <c r="B218" s="33" t="str">
        <f>IF(CoDeSysIOs!C218=""," ","String")</f>
        <v>String</v>
      </c>
      <c r="C218" s="33" t="str">
        <f>IF(CoDeSysIOs!C218=""," ",J218&amp;""&amp;E218)</f>
        <v>|var|CODESYS Control Win V3 x64.Application.IOs.OP730_Sending</v>
      </c>
      <c r="D218" s="33" t="str">
        <f>IF(CoDeSysIOs!B218="","",CoDeSysIOs!H218)</f>
        <v>Read</v>
      </c>
      <c r="E218" s="33" t="str">
        <f>IF(CoDeSysIOs!C218=""," ",CoDeSysIOs!B218)</f>
        <v>OP730_Sending</v>
      </c>
      <c r="F218" s="33" t="str">
        <f>IF(CoDeSysIOs!D218="","",CoDeSysIOs!G218)</f>
        <v>Group</v>
      </c>
      <c r="J218" s="70" t="s">
        <v>527</v>
      </c>
    </row>
    <row r="219" ht="14.25" customHeight="1">
      <c r="A219" s="33" t="str">
        <f>IF(CoDeSysIOs!C219=""," ","CODESYSSPV3/3S/IecVarAccess")</f>
        <v> </v>
      </c>
      <c r="B219" s="33" t="str">
        <f>IF(CoDeSysIOs!C219=""," ","String")</f>
        <v> </v>
      </c>
      <c r="C219" s="33" t="str">
        <f>IF(CoDeSysIOs!C219=""," ",J219&amp;""&amp;E219)</f>
        <v> </v>
      </c>
      <c r="D219" s="33" t="str">
        <f>IF(CoDeSysIOs!B219="","",CoDeSysIOs!H219)</f>
        <v/>
      </c>
      <c r="E219" s="33" t="str">
        <f>IF(CoDeSysIOs!C219=""," ",CoDeSysIOs!B219)</f>
        <v> </v>
      </c>
      <c r="F219" s="33" t="str">
        <f>IF(CoDeSysIOs!D219="","",CoDeSysIOs!G219)</f>
        <v/>
      </c>
      <c r="J219" s="70" t="s">
        <v>527</v>
      </c>
    </row>
    <row r="220" ht="14.25" customHeight="1">
      <c r="A220" s="33" t="str">
        <f>IF(CoDeSysIOs!C220=""," ","CODESYSSPV3/3S/IecVarAccess")</f>
        <v> </v>
      </c>
      <c r="B220" s="33" t="str">
        <f>IF(CoDeSysIOs!C220=""," ","String")</f>
        <v> </v>
      </c>
      <c r="C220" s="33" t="str">
        <f>IF(CoDeSysIOs!C220=""," ",J220&amp;""&amp;E220)</f>
        <v> </v>
      </c>
      <c r="D220" s="33" t="str">
        <f>IF(CoDeSysIOs!B220="","",CoDeSysIOs!H220)</f>
        <v/>
      </c>
      <c r="E220" s="33" t="str">
        <f>IF(CoDeSysIOs!C220=""," ",CoDeSysIOs!B220)</f>
        <v> </v>
      </c>
      <c r="F220" s="33" t="str">
        <f>IF(CoDeSysIOs!D220="","",CoDeSysIOs!G220)</f>
        <v/>
      </c>
      <c r="J220" s="70" t="s">
        <v>527</v>
      </c>
    </row>
    <row r="221" ht="14.25" customHeight="1">
      <c r="A221" s="33" t="str">
        <f>IF(CoDeSysIOs!C221=""," ","CODESYSSPV3/3S/IecVarAccess")</f>
        <v> </v>
      </c>
      <c r="B221" s="33" t="str">
        <f>IF(CoDeSysIOs!C221=""," ","String")</f>
        <v> </v>
      </c>
      <c r="C221" s="33" t="str">
        <f>IF(CoDeSysIOs!C221=""," ",J221&amp;""&amp;E221)</f>
        <v> </v>
      </c>
      <c r="D221" s="33" t="str">
        <f>IF(CoDeSysIOs!B221="","",CoDeSysIOs!H221)</f>
        <v/>
      </c>
      <c r="E221" s="33" t="str">
        <f>IF(CoDeSysIOs!C221=""," ",CoDeSysIOs!B221)</f>
        <v> </v>
      </c>
      <c r="F221" s="33" t="str">
        <f>IF(CoDeSysIOs!D221="","",CoDeSysIOs!G221)</f>
        <v/>
      </c>
      <c r="J221" s="70" t="s">
        <v>527</v>
      </c>
    </row>
    <row r="222" ht="14.25" customHeight="1">
      <c r="A222" s="33" t="str">
        <f>IF(CoDeSysIOs!C222=""," ","CODESYSSPV3/3S/IecVarAccess")</f>
        <v> </v>
      </c>
      <c r="B222" s="33" t="str">
        <f>IF(CoDeSysIOs!C222=""," ","String")</f>
        <v> </v>
      </c>
      <c r="C222" s="33" t="str">
        <f>IF(CoDeSysIOs!C222=""," ",J222&amp;""&amp;E222)</f>
        <v> </v>
      </c>
      <c r="D222" s="33" t="str">
        <f>IF(CoDeSysIOs!B222="","",CoDeSysIOs!H222)</f>
        <v/>
      </c>
      <c r="E222" s="33" t="str">
        <f>IF(CoDeSysIOs!C222=""," ",CoDeSysIOs!B222)</f>
        <v> </v>
      </c>
      <c r="F222" s="33" t="str">
        <f>IF(CoDeSysIOs!D222="","",CoDeSysIOs!G222)</f>
        <v/>
      </c>
      <c r="J222" s="70" t="s">
        <v>527</v>
      </c>
    </row>
    <row r="223" ht="14.25" customHeight="1">
      <c r="A223" s="33" t="str">
        <f>IF(CoDeSysIOs!C223=""," ","CODESYSSPV3/3S/IecVarAccess")</f>
        <v> </v>
      </c>
      <c r="B223" s="33" t="str">
        <f>IF(CoDeSysIOs!C223=""," ","String")</f>
        <v> </v>
      </c>
      <c r="C223" s="33" t="str">
        <f>IF(CoDeSysIOs!C223=""," ",J223&amp;""&amp;E223)</f>
        <v> </v>
      </c>
      <c r="D223" s="33" t="str">
        <f>IF(CoDeSysIOs!B223="","",CoDeSysIOs!H223)</f>
        <v/>
      </c>
      <c r="E223" s="33" t="str">
        <f>IF(CoDeSysIOs!C223=""," ",CoDeSysIOs!B223)</f>
        <v> </v>
      </c>
      <c r="F223" s="33" t="str">
        <f>IF(CoDeSysIOs!D223="","",CoDeSysIOs!G223)</f>
        <v/>
      </c>
      <c r="J223" s="70" t="s">
        <v>527</v>
      </c>
    </row>
    <row r="224" ht="14.25" customHeight="1">
      <c r="A224" s="33" t="str">
        <f>IF(CoDeSysIOs!C224=""," ","CODESYSSPV3/3S/IecVarAccess")</f>
        <v> </v>
      </c>
      <c r="B224" s="33" t="str">
        <f>IF(CoDeSysIOs!C224=""," ","String")</f>
        <v> </v>
      </c>
      <c r="C224" s="33" t="str">
        <f>IF(CoDeSysIOs!C224=""," ",J224&amp;""&amp;E224)</f>
        <v> </v>
      </c>
      <c r="D224" s="33" t="str">
        <f>IF(CoDeSysIOs!B224="","",CoDeSysIOs!H224)</f>
        <v/>
      </c>
      <c r="E224" s="33" t="str">
        <f>IF(CoDeSysIOs!C224=""," ",CoDeSysIOs!B224)</f>
        <v> </v>
      </c>
      <c r="F224" s="33" t="str">
        <f>IF(CoDeSysIOs!D224="","",CoDeSysIOs!G224)</f>
        <v/>
      </c>
      <c r="J224" s="70" t="s">
        <v>527</v>
      </c>
    </row>
    <row r="225" ht="14.25" customHeight="1">
      <c r="A225" s="33" t="str">
        <f>IF(CoDeSysIOs!C225=""," ","CODESYSSPV3/3S/IecVarAccess")</f>
        <v> </v>
      </c>
      <c r="B225" s="33" t="str">
        <f>IF(CoDeSysIOs!C225=""," ","String")</f>
        <v> </v>
      </c>
      <c r="C225" s="33" t="str">
        <f>IF(CoDeSysIOs!C225=""," ",J225&amp;""&amp;E225)</f>
        <v> </v>
      </c>
      <c r="D225" s="33" t="str">
        <f>IF(CoDeSysIOs!B225="","",CoDeSysIOs!H225)</f>
        <v/>
      </c>
      <c r="E225" s="33" t="str">
        <f>IF(CoDeSysIOs!C225=""," ",CoDeSysIOs!B225)</f>
        <v> </v>
      </c>
      <c r="F225" s="33" t="str">
        <f>IF(CoDeSysIOs!D225="","",CoDeSysIOs!G225)</f>
        <v/>
      </c>
      <c r="J225" s="70" t="s">
        <v>527</v>
      </c>
    </row>
    <row r="226" ht="14.25" customHeight="1">
      <c r="A226" s="33" t="str">
        <f>IF(CoDeSysIOs!C226=""," ","CODESYSSPV3/3S/IecVarAccess")</f>
        <v>CODESYSSPV3/3S/IecVarAccess</v>
      </c>
      <c r="B226" s="33" t="str">
        <f>IF(CoDeSysIOs!C226=""," ","String")</f>
        <v>String</v>
      </c>
      <c r="C226" s="33" t="str">
        <f>IF(CoDeSysIOs!C226=""," ",J226&amp;""&amp;E226)</f>
        <v>|var|CODESYS Control Win V3 x64.Application.IOs.Box_ProductNr</v>
      </c>
      <c r="D226" s="33" t="str">
        <f>IF(CoDeSysIOs!B226="","",CoDeSysIOs!H226)</f>
        <v>Write</v>
      </c>
      <c r="E226" s="33" t="str">
        <f>IF(CoDeSysIOs!C226=""," ",CoDeSysIOs!B226)</f>
        <v>Box_ProductNr</v>
      </c>
      <c r="F226" s="33" t="str">
        <f>IF(CoDeSysIOs!D226="","",CoDeSysIOs!G226)</f>
        <v>Group</v>
      </c>
      <c r="J226" s="70" t="s">
        <v>527</v>
      </c>
    </row>
    <row r="227" ht="14.25" customHeight="1">
      <c r="A227" s="33" t="str">
        <f>IF(CoDeSysIOs!C227=""," ","CODESYSSPV3/3S/IecVarAccess")</f>
        <v>CODESYSSPV3/3S/IecVarAccess</v>
      </c>
      <c r="B227" s="33" t="str">
        <f>IF(CoDeSysIOs!C227=""," ","String")</f>
        <v>String</v>
      </c>
      <c r="C227" s="33" t="str">
        <f>IF(CoDeSysIOs!C227=""," ",J227&amp;""&amp;E227)</f>
        <v>|var|CODESYS Control Win V3 x64.Application.IOs.Box_IDNumber</v>
      </c>
      <c r="D227" s="33" t="str">
        <f>IF(CoDeSysIOs!B227="","",CoDeSysIOs!H227)</f>
        <v>Write</v>
      </c>
      <c r="E227" s="33" t="str">
        <f>IF(CoDeSysIOs!C227=""," ",CoDeSysIOs!B227)</f>
        <v>Box_IDNumber</v>
      </c>
      <c r="F227" s="33" t="str">
        <f>IF(CoDeSysIOs!D227="","",CoDeSysIOs!G227)</f>
        <v>Group</v>
      </c>
      <c r="J227" s="70" t="s">
        <v>527</v>
      </c>
    </row>
    <row r="228" ht="14.25" customHeight="1">
      <c r="A228" s="33" t="str">
        <f>IF(CoDeSysIOs!C228=""," ","CODESYSSPV3/3S/IecVarAccess")</f>
        <v>CODESYSSPV3/3S/IecVarAccess</v>
      </c>
      <c r="B228" s="33" t="str">
        <f>IF(CoDeSysIOs!C228=""," ","String")</f>
        <v>String</v>
      </c>
      <c r="C228" s="33" t="str">
        <f>IF(CoDeSysIOs!C228=""," ",J228&amp;""&amp;E228)</f>
        <v>|var|CODESYS Control Win V3 x64.Application.IOs.Status</v>
      </c>
      <c r="D228" s="33" t="str">
        <f>IF(CoDeSysIOs!B228="","",CoDeSysIOs!H228)</f>
        <v>Write</v>
      </c>
      <c r="E228" s="33" t="str">
        <f>IF(CoDeSysIOs!C228=""," ",CoDeSysIOs!B228)</f>
        <v>Status</v>
      </c>
      <c r="F228" s="33" t="str">
        <f>IF(CoDeSysIOs!D228="","",CoDeSysIOs!G228)</f>
        <v>Group</v>
      </c>
      <c r="J228" s="70" t="s">
        <v>527</v>
      </c>
    </row>
    <row r="229" ht="14.25" customHeight="1">
      <c r="A229" s="33" t="str">
        <f>IF(CoDeSysIOs!C229=""," ","CODESYSSPV3/3S/IecVarAccess")</f>
        <v>CODESYSSPV3/3S/IecVarAccess</v>
      </c>
      <c r="B229" s="33" t="str">
        <f>IF(CoDeSysIOs!C229=""," ","String")</f>
        <v>String</v>
      </c>
      <c r="C229" s="33" t="str">
        <f>IF(CoDeSysIOs!C229=""," ",J229&amp;""&amp;E229)</f>
        <v>|var|CODESYS Control Win V3 x64.Application.IOs.</v>
      </c>
      <c r="D229" s="33" t="str">
        <f>IF(CoDeSysIOs!B229="","",CoDeSysIOs!H229)</f>
        <v/>
      </c>
      <c r="E229" s="33" t="str">
        <f>IF(CoDeSysIOs!C229=""," ",CoDeSysIOs!B229)</f>
        <v/>
      </c>
      <c r="F229" s="33" t="str">
        <f>IF(CoDeSysIOs!D229="","",CoDeSysIOs!G229)</f>
        <v>Digital</v>
      </c>
      <c r="J229" s="70" t="s">
        <v>527</v>
      </c>
    </row>
    <row r="230" ht="14.25" customHeight="1">
      <c r="A230" s="33" t="str">
        <f>IF(CoDeSysIOs!C230=""," ","CODESYSSPV3/3S/IecVarAccess")</f>
        <v>CODESYSSPV3/3S/IecVarAccess</v>
      </c>
      <c r="B230" s="33" t="str">
        <f>IF(CoDeSysIOs!C230=""," ","String")</f>
        <v>String</v>
      </c>
      <c r="C230" s="33" t="str">
        <f>IF(CoDeSysIOs!C230=""," ",J230&amp;""&amp;E230)</f>
        <v>|var|CODESYS Control Win V3 x64.Application.IOs.</v>
      </c>
      <c r="D230" s="33" t="str">
        <f>IF(CoDeSysIOs!B230="","",CoDeSysIOs!H230)</f>
        <v/>
      </c>
      <c r="E230" s="33" t="str">
        <f>IF(CoDeSysIOs!C230=""," ",CoDeSysIOs!B230)</f>
        <v/>
      </c>
      <c r="F230" s="33" t="str">
        <f>IF(CoDeSysIOs!D230="","",CoDeSysIOs!G230)</f>
        <v>Digital</v>
      </c>
      <c r="J230" s="70" t="s">
        <v>527</v>
      </c>
    </row>
    <row r="231" ht="14.25" customHeight="1">
      <c r="A231" s="33" t="str">
        <f>IF(CoDeSysIOs!C231=""," ","CODESYSSPV3/3S/IecVarAccess")</f>
        <v> </v>
      </c>
      <c r="B231" s="33" t="str">
        <f>IF(CoDeSysIOs!C231=""," ","String")</f>
        <v> </v>
      </c>
      <c r="C231" s="33" t="str">
        <f>IF(CoDeSysIOs!C231=""," ",J231&amp;""&amp;E231)</f>
        <v> </v>
      </c>
      <c r="D231" s="33" t="str">
        <f>IF(CoDeSysIOs!B231="","",CoDeSysIOs!H231)</f>
        <v/>
      </c>
      <c r="E231" s="33" t="str">
        <f>IF(CoDeSysIOs!C231=""," ",CoDeSysIOs!B231)</f>
        <v> </v>
      </c>
      <c r="F231" s="33" t="str">
        <f>IF(CoDeSysIOs!D231="","",CoDeSysIOs!G231)</f>
        <v/>
      </c>
      <c r="J231" s="70" t="s">
        <v>527</v>
      </c>
    </row>
    <row r="232" ht="14.25" customHeight="1">
      <c r="A232" s="33" t="str">
        <f>IF(CoDeSysIOs!C232=""," ","CODESYSSPV3/3S/IecVarAccess")</f>
        <v>CODESYSSPV3/3S/IecVarAccess</v>
      </c>
      <c r="B232" s="33" t="str">
        <f>IF(CoDeSysIOs!C232=""," ","String")</f>
        <v>String</v>
      </c>
      <c r="C232" s="33" t="str">
        <f>IF(CoDeSysIOs!C232=""," ",J232&amp;""&amp;E232)</f>
        <v>|var|CODESYS Control Win V3 x64.Application.IOs.</v>
      </c>
      <c r="D232" s="33" t="str">
        <f>IF(CoDeSysIOs!B232="","",CoDeSysIOs!H232)</f>
        <v/>
      </c>
      <c r="E232" s="33" t="str">
        <f>IF(CoDeSysIOs!C232=""," ",CoDeSysIOs!B232)</f>
        <v/>
      </c>
      <c r="F232" s="33" t="str">
        <f>IF(CoDeSysIOs!D232="","",CoDeSysIOs!G232)</f>
        <v>Digital</v>
      </c>
      <c r="J232" s="70" t="s">
        <v>527</v>
      </c>
    </row>
    <row r="233" ht="14.25" customHeight="1">
      <c r="A233" s="33" t="str">
        <f>IF(CoDeSysIOs!C233=""," ","CODESYSSPV3/3S/IecVarAccess")</f>
        <v>CODESYSSPV3/3S/IecVarAccess</v>
      </c>
      <c r="B233" s="33" t="str">
        <f>IF(CoDeSysIOs!C233=""," ","String")</f>
        <v>String</v>
      </c>
      <c r="C233" s="33" t="str">
        <f>IF(CoDeSysIOs!C233=""," ",J233&amp;""&amp;E233)</f>
        <v>|var|CODESYS Control Win V3 x64.Application.IOs.</v>
      </c>
      <c r="D233" s="33" t="str">
        <f>IF(CoDeSysIOs!B233="","",CoDeSysIOs!H233)</f>
        <v/>
      </c>
      <c r="E233" s="33" t="str">
        <f>IF(CoDeSysIOs!C233=""," ",CoDeSysIOs!B233)</f>
        <v/>
      </c>
      <c r="F233" s="33" t="str">
        <f>IF(CoDeSysIOs!D233="","",CoDeSysIOs!G233)</f>
        <v>Digital</v>
      </c>
      <c r="J233" s="70" t="s">
        <v>527</v>
      </c>
    </row>
    <row r="234" ht="14.25" customHeight="1">
      <c r="A234" s="33" t="str">
        <f>IF(CoDeSysIOs!C234=""," ","CODESYSSPV3/3S/IecVarAccess")</f>
        <v> </v>
      </c>
      <c r="B234" s="33" t="str">
        <f>IF(CoDeSysIOs!C234=""," ","String")</f>
        <v> </v>
      </c>
      <c r="C234" s="33" t="str">
        <f>IF(CoDeSysIOs!C234=""," ",J234&amp;""&amp;E234)</f>
        <v> </v>
      </c>
      <c r="D234" s="33" t="str">
        <f>IF(CoDeSysIOs!B234="","",CoDeSysIOs!H234)</f>
        <v/>
      </c>
      <c r="E234" s="33" t="str">
        <f>IF(CoDeSysIOs!C234=""," ",CoDeSysIOs!B234)</f>
        <v> </v>
      </c>
      <c r="F234" s="33" t="str">
        <f>IF(CoDeSysIOs!D234="","",CoDeSysIOs!G234)</f>
        <v/>
      </c>
      <c r="J234" s="70" t="s">
        <v>527</v>
      </c>
    </row>
    <row r="235" ht="14.25" customHeight="1">
      <c r="A235" s="33" t="str">
        <f>IF(CoDeSysIOs!C235=""," ","CODESYSSPV3/3S/IecVarAccess")</f>
        <v> </v>
      </c>
      <c r="B235" s="33" t="str">
        <f>IF(CoDeSysIOs!C235=""," ","String")</f>
        <v> </v>
      </c>
      <c r="C235" s="33" t="str">
        <f>IF(CoDeSysIOs!C235=""," ",J235&amp;""&amp;E235)</f>
        <v> </v>
      </c>
      <c r="D235" s="33" t="str">
        <f>IF(CoDeSysIOs!B235="","",CoDeSysIOs!H235)</f>
        <v/>
      </c>
      <c r="E235" s="33" t="str">
        <f>IF(CoDeSysIOs!C235=""," ",CoDeSysIOs!B235)</f>
        <v> </v>
      </c>
      <c r="F235" s="33" t="str">
        <f>IF(CoDeSysIOs!D235="","",CoDeSysIOs!G235)</f>
        <v/>
      </c>
      <c r="J235" s="70" t="s">
        <v>527</v>
      </c>
    </row>
    <row r="236" ht="14.25" customHeight="1">
      <c r="A236" s="33" t="str">
        <f>IF(CoDeSysIOs!C236=""," ","CODESYSSPV3/3S/IecVarAccess")</f>
        <v> </v>
      </c>
      <c r="B236" s="33" t="str">
        <f>IF(CoDeSysIOs!C236=""," ","String")</f>
        <v> </v>
      </c>
      <c r="C236" s="33" t="str">
        <f>IF(CoDeSysIOs!C236=""," ",J236&amp;""&amp;E236)</f>
        <v> </v>
      </c>
      <c r="D236" s="33" t="str">
        <f>IF(CoDeSysIOs!B236="","",CoDeSysIOs!H236)</f>
        <v/>
      </c>
      <c r="E236" s="33" t="str">
        <f>IF(CoDeSysIOs!C236=""," ",CoDeSysIOs!B236)</f>
        <v> </v>
      </c>
      <c r="F236" s="33" t="str">
        <f>IF(CoDeSysIOs!D236="","",CoDeSysIOs!G236)</f>
        <v/>
      </c>
      <c r="J236" s="70" t="s">
        <v>527</v>
      </c>
    </row>
    <row r="237" ht="14.25" customHeight="1">
      <c r="A237" s="33" t="str">
        <f>IF(CoDeSysIOs!C237=""," ","CODESYSSPV3/3S/IecVarAccess")</f>
        <v> </v>
      </c>
      <c r="B237" s="33" t="str">
        <f>IF(CoDeSysIOs!C237=""," ","String")</f>
        <v> </v>
      </c>
      <c r="C237" s="33" t="str">
        <f>IF(CoDeSysIOs!C237=""," ",J237&amp;""&amp;E237)</f>
        <v> </v>
      </c>
      <c r="D237" s="33" t="str">
        <f>IF(CoDeSysIOs!B237="","",CoDeSysIOs!H237)</f>
        <v/>
      </c>
      <c r="E237" s="33" t="str">
        <f>IF(CoDeSysIOs!C237=""," ",CoDeSysIOs!B237)</f>
        <v> </v>
      </c>
      <c r="F237" s="33" t="str">
        <f>IF(CoDeSysIOs!D237="","",CoDeSysIOs!G237)</f>
        <v/>
      </c>
      <c r="J237" s="70" t="s">
        <v>527</v>
      </c>
    </row>
    <row r="238" ht="14.25" customHeight="1">
      <c r="A238" s="33" t="str">
        <f>IF(CoDeSysIOs!C238=""," ","CODESYSSPV3/3S/IecVarAccess")</f>
        <v> </v>
      </c>
      <c r="B238" s="33" t="str">
        <f>IF(CoDeSysIOs!C238=""," ","String")</f>
        <v> </v>
      </c>
      <c r="C238" s="33" t="str">
        <f>IF(CoDeSysIOs!C238=""," ",J238&amp;""&amp;E238)</f>
        <v> </v>
      </c>
      <c r="D238" s="33" t="str">
        <f>IF(CoDeSysIOs!B238="","",CoDeSysIOs!H238)</f>
        <v/>
      </c>
      <c r="E238" s="33" t="str">
        <f>IF(CoDeSysIOs!C238=""," ",CoDeSysIOs!B238)</f>
        <v> </v>
      </c>
      <c r="F238" s="33" t="str">
        <f>IF(CoDeSysIOs!D238="","",CoDeSysIOs!G238)</f>
        <v/>
      </c>
      <c r="J238" s="70" t="s">
        <v>527</v>
      </c>
    </row>
    <row r="239" ht="14.25" customHeight="1">
      <c r="A239" s="33" t="str">
        <f>IF(CoDeSysIOs!C239=""," ","CODESYSSPV3/3S/IecVarAccess")</f>
        <v> </v>
      </c>
      <c r="B239" s="33" t="str">
        <f>IF(CoDeSysIOs!C239=""," ","String")</f>
        <v> </v>
      </c>
      <c r="C239" s="33" t="str">
        <f>IF(CoDeSysIOs!C239=""," ",J239&amp;""&amp;E239)</f>
        <v> </v>
      </c>
      <c r="D239" s="33" t="str">
        <f>IF(CoDeSysIOs!B239="","",CoDeSysIOs!H239)</f>
        <v/>
      </c>
      <c r="E239" s="33" t="str">
        <f>IF(CoDeSysIOs!C239=""," ",CoDeSysIOs!B239)</f>
        <v> </v>
      </c>
      <c r="F239" s="33" t="str">
        <f>IF(CoDeSysIOs!D239="","",CoDeSysIOs!G239)</f>
        <v/>
      </c>
      <c r="J239" s="70" t="s">
        <v>527</v>
      </c>
    </row>
    <row r="240" ht="14.25" customHeight="1">
      <c r="A240" s="33" t="str">
        <f>IF(CoDeSysIOs!C240=""," ","CODESYSSPV3/3S/IecVarAccess")</f>
        <v> </v>
      </c>
      <c r="B240" s="33" t="str">
        <f>IF(CoDeSysIOs!C240=""," ","String")</f>
        <v> </v>
      </c>
      <c r="C240" s="33" t="str">
        <f>IF(CoDeSysIOs!C240=""," ",J240&amp;""&amp;E240)</f>
        <v> </v>
      </c>
      <c r="D240" s="33" t="str">
        <f>IF(CoDeSysIOs!B240="","",CoDeSysIOs!H240)</f>
        <v/>
      </c>
      <c r="E240" s="33" t="str">
        <f>IF(CoDeSysIOs!C240=""," ",CoDeSysIOs!B240)</f>
        <v> </v>
      </c>
      <c r="F240" s="33" t="str">
        <f>IF(CoDeSysIOs!D240="","",CoDeSysIOs!G240)</f>
        <v/>
      </c>
      <c r="J240" s="70" t="s">
        <v>527</v>
      </c>
    </row>
    <row r="241" ht="14.25" customHeight="1">
      <c r="A241" s="33" t="str">
        <f>IF(CoDeSysIOs!C241=""," ","CODESYSSPV3/3S/IecVarAccess")</f>
        <v> </v>
      </c>
      <c r="B241" s="33" t="str">
        <f>IF(CoDeSysIOs!C241=""," ","String")</f>
        <v> </v>
      </c>
      <c r="C241" s="33" t="str">
        <f>IF(CoDeSysIOs!C241=""," ",J241&amp;""&amp;E241)</f>
        <v> </v>
      </c>
      <c r="D241" s="33" t="str">
        <f>IF(CoDeSysIOs!B241="","",CoDeSysIOs!H241)</f>
        <v/>
      </c>
      <c r="E241" s="33" t="str">
        <f>IF(CoDeSysIOs!C241=""," ",CoDeSysIOs!B241)</f>
        <v> </v>
      </c>
      <c r="F241" s="33" t="str">
        <f>IF(CoDeSysIOs!D241="","",CoDeSysIOs!G241)</f>
        <v/>
      </c>
      <c r="J241" s="70" t="s">
        <v>527</v>
      </c>
    </row>
    <row r="242" ht="14.25" customHeight="1">
      <c r="A242" s="33" t="str">
        <f>IF(CoDeSysIOs!C242=""," ","CODESYSSPV3/3S/IecVarAccess")</f>
        <v> </v>
      </c>
      <c r="B242" s="33" t="str">
        <f>IF(CoDeSysIOs!C242=""," ","String")</f>
        <v> </v>
      </c>
      <c r="C242" s="33" t="str">
        <f>IF(CoDeSysIOs!C242=""," ",J242&amp;""&amp;E242)</f>
        <v> </v>
      </c>
      <c r="D242" s="33" t="str">
        <f>IF(CoDeSysIOs!B242="","",CoDeSysIOs!H242)</f>
        <v/>
      </c>
      <c r="E242" s="33" t="str">
        <f>IF(CoDeSysIOs!C242=""," ",CoDeSysIOs!B242)</f>
        <v> </v>
      </c>
      <c r="F242" s="33" t="str">
        <f>IF(CoDeSysIOs!D242="","",CoDeSysIOs!G242)</f>
        <v/>
      </c>
      <c r="J242" s="70" t="s">
        <v>527</v>
      </c>
    </row>
    <row r="243" ht="14.25" customHeight="1">
      <c r="A243" s="33" t="str">
        <f>IF(CoDeSysIOs!C243=""," ","CODESYSSPV3/3S/IecVarAccess")</f>
        <v> </v>
      </c>
      <c r="B243" s="33" t="str">
        <f>IF(CoDeSysIOs!C243=""," ","String")</f>
        <v> </v>
      </c>
      <c r="C243" s="33" t="str">
        <f>IF(CoDeSysIOs!C243=""," ",J243&amp;""&amp;E243)</f>
        <v> </v>
      </c>
      <c r="D243" s="33" t="str">
        <f>IF(CoDeSysIOs!B243="","",CoDeSysIOs!H243)</f>
        <v/>
      </c>
      <c r="E243" s="33" t="str">
        <f>IF(CoDeSysIOs!C243=""," ",CoDeSysIOs!B243)</f>
        <v> </v>
      </c>
      <c r="F243" s="33" t="str">
        <f>IF(CoDeSysIOs!D243="","",CoDeSysIOs!G243)</f>
        <v/>
      </c>
      <c r="J243" s="70" t="s">
        <v>527</v>
      </c>
    </row>
    <row r="244" ht="14.25" customHeight="1">
      <c r="A244" s="33" t="str">
        <f>IF(CoDeSysIOs!C244=""," ","CODESYSSPV3/3S/IecVarAccess")</f>
        <v> </v>
      </c>
      <c r="B244" s="33" t="str">
        <f>IF(CoDeSysIOs!C244=""," ","String")</f>
        <v> </v>
      </c>
      <c r="C244" s="33" t="str">
        <f>IF(CoDeSysIOs!C244=""," ",J244&amp;""&amp;E244)</f>
        <v> </v>
      </c>
      <c r="D244" s="33" t="str">
        <f>IF(CoDeSysIOs!B244="","",CoDeSysIOs!H244)</f>
        <v/>
      </c>
      <c r="E244" s="33" t="str">
        <f>IF(CoDeSysIOs!C244=""," ",CoDeSysIOs!B244)</f>
        <v> </v>
      </c>
      <c r="F244" s="33" t="str">
        <f>IF(CoDeSysIOs!D244="","",CoDeSysIOs!G244)</f>
        <v/>
      </c>
      <c r="J244" s="70" t="s">
        <v>527</v>
      </c>
    </row>
    <row r="245" ht="14.25" customHeight="1">
      <c r="A245" s="33" t="str">
        <f>IF(CoDeSysIOs!C245=""," ","CODESYSSPV3/3S/IecVarAccess")</f>
        <v> </v>
      </c>
      <c r="B245" s="33" t="str">
        <f>IF(CoDeSysIOs!C245=""," ","String")</f>
        <v> </v>
      </c>
      <c r="C245" s="33" t="str">
        <f>IF(CoDeSysIOs!C245=""," ",J245&amp;""&amp;E245)</f>
        <v> </v>
      </c>
      <c r="D245" s="33" t="str">
        <f>IF(CoDeSysIOs!B245="","",CoDeSysIOs!H245)</f>
        <v/>
      </c>
      <c r="E245" s="33" t="str">
        <f>IF(CoDeSysIOs!C245=""," ",CoDeSysIOs!B245)</f>
        <v> </v>
      </c>
      <c r="F245" s="33" t="str">
        <f>IF(CoDeSysIOs!D245="","",CoDeSysIOs!G245)</f>
        <v/>
      </c>
      <c r="J245" s="70" t="s">
        <v>527</v>
      </c>
    </row>
    <row r="246" ht="14.25" customHeight="1">
      <c r="A246" s="33" t="str">
        <f>IF(CoDeSysIOs!C246=""," ","CODESYSSPV3/3S/IecVarAccess")</f>
        <v> </v>
      </c>
      <c r="B246" s="33" t="str">
        <f>IF(CoDeSysIOs!C246=""," ","String")</f>
        <v> </v>
      </c>
      <c r="C246" s="33" t="str">
        <f>IF(CoDeSysIOs!C246=""," ",J246&amp;""&amp;E246)</f>
        <v> </v>
      </c>
      <c r="D246" s="33" t="str">
        <f>IF(CoDeSysIOs!B246="","",CoDeSysIOs!H246)</f>
        <v/>
      </c>
      <c r="E246" s="33" t="str">
        <f>IF(CoDeSysIOs!C246=""," ",CoDeSysIOs!B246)</f>
        <v> </v>
      </c>
      <c r="F246" s="33" t="str">
        <f>IF(CoDeSysIOs!D246="","",CoDeSysIOs!G246)</f>
        <v/>
      </c>
      <c r="J246" s="70" t="s">
        <v>527</v>
      </c>
    </row>
    <row r="247" ht="14.25" customHeight="1">
      <c r="A247" s="33" t="str">
        <f>IF(CoDeSysIOs!C247=""," ","CODESYSSPV3/3S/IecVarAccess")</f>
        <v> </v>
      </c>
      <c r="B247" s="33" t="str">
        <f>IF(CoDeSysIOs!C247=""," ","String")</f>
        <v> </v>
      </c>
      <c r="C247" s="33" t="str">
        <f>IF(CoDeSysIOs!C247=""," ",J247&amp;""&amp;E247)</f>
        <v> </v>
      </c>
      <c r="D247" s="33" t="str">
        <f>IF(CoDeSysIOs!B247="","",CoDeSysIOs!H247)</f>
        <v/>
      </c>
      <c r="E247" s="33" t="str">
        <f>IF(CoDeSysIOs!C247=""," ",CoDeSysIOs!B247)</f>
        <v> </v>
      </c>
      <c r="F247" s="33" t="str">
        <f>IF(CoDeSysIOs!D247="","",CoDeSysIOs!G247)</f>
        <v/>
      </c>
      <c r="J247" s="70" t="s">
        <v>527</v>
      </c>
    </row>
    <row r="248" ht="14.25" customHeight="1">
      <c r="A248" s="33" t="str">
        <f>IF(CoDeSysIOs!C248=""," ","CODESYSSPV3/3S/IecVarAccess")</f>
        <v> </v>
      </c>
      <c r="B248" s="33" t="str">
        <f>IF(CoDeSysIOs!C248=""," ","String")</f>
        <v> </v>
      </c>
      <c r="C248" s="33" t="str">
        <f>IF(CoDeSysIOs!C248=""," ",J248&amp;""&amp;E248)</f>
        <v> </v>
      </c>
      <c r="D248" s="33" t="str">
        <f>IF(CoDeSysIOs!B248="","",CoDeSysIOs!H248)</f>
        <v/>
      </c>
      <c r="E248" s="33" t="str">
        <f>IF(CoDeSysIOs!C248=""," ",CoDeSysIOs!B248)</f>
        <v> </v>
      </c>
      <c r="F248" s="33" t="str">
        <f>IF(CoDeSysIOs!D248="","",CoDeSysIOs!G248)</f>
        <v/>
      </c>
      <c r="J248" s="70" t="s">
        <v>527</v>
      </c>
    </row>
    <row r="249" ht="14.25" customHeight="1">
      <c r="A249" s="33" t="str">
        <f>IF(CoDeSysIOs!C249=""," ","CODESYSSPV3/3S/IecVarAccess")</f>
        <v> </v>
      </c>
      <c r="B249" s="33" t="str">
        <f>IF(CoDeSysIOs!C249=""," ","String")</f>
        <v> </v>
      </c>
      <c r="C249" s="33" t="str">
        <f>IF(CoDeSysIOs!C249=""," ",J249&amp;""&amp;E249)</f>
        <v> </v>
      </c>
      <c r="D249" s="33" t="str">
        <f>IF(CoDeSysIOs!B249="","",CoDeSysIOs!H249)</f>
        <v/>
      </c>
      <c r="E249" s="33" t="str">
        <f>IF(CoDeSysIOs!C249=""," ",CoDeSysIOs!B249)</f>
        <v> </v>
      </c>
      <c r="F249" s="33" t="str">
        <f>IF(CoDeSysIOs!D249="","",CoDeSysIOs!G249)</f>
        <v/>
      </c>
      <c r="J249" s="70" t="s">
        <v>527</v>
      </c>
    </row>
    <row r="250" ht="14.25" customHeight="1">
      <c r="A250" s="33" t="str">
        <f>IF(CoDeSysIOs!C250=""," ","CODESYSSPV3/3S/IecVarAccess")</f>
        <v> </v>
      </c>
      <c r="B250" s="33" t="str">
        <f>IF(CoDeSysIOs!C250=""," ","String")</f>
        <v> </v>
      </c>
      <c r="C250" s="33" t="str">
        <f>IF(CoDeSysIOs!C250=""," ",J250&amp;""&amp;E250)</f>
        <v> </v>
      </c>
      <c r="D250" s="33" t="str">
        <f>IF(CoDeSysIOs!B250="","",CoDeSysIOs!H250)</f>
        <v/>
      </c>
      <c r="E250" s="33" t="str">
        <f>IF(CoDeSysIOs!C250=""," ",CoDeSysIOs!B250)</f>
        <v> </v>
      </c>
      <c r="F250" s="33" t="str">
        <f>IF(CoDeSysIOs!D250="","",CoDeSysIOs!G250)</f>
        <v/>
      </c>
      <c r="J250" s="70" t="s">
        <v>527</v>
      </c>
    </row>
    <row r="251" ht="14.25" customHeight="1">
      <c r="A251" s="33" t="str">
        <f>IF(CoDeSysIOs!C251=""," ","CODESYSSPV3/3S/IecVarAccess")</f>
        <v> </v>
      </c>
      <c r="B251" s="33" t="str">
        <f>IF(CoDeSysIOs!C251=""," ","String")</f>
        <v> </v>
      </c>
      <c r="C251" s="33" t="str">
        <f>IF(CoDeSysIOs!C251=""," ",J251&amp;""&amp;E251)</f>
        <v> </v>
      </c>
      <c r="D251" s="33" t="str">
        <f>IF(CoDeSysIOs!B251="","",CoDeSysIOs!H251)</f>
        <v/>
      </c>
      <c r="E251" s="33" t="str">
        <f>IF(CoDeSysIOs!C251=""," ",CoDeSysIOs!B251)</f>
        <v> </v>
      </c>
      <c r="F251" s="33" t="str">
        <f>IF(CoDeSysIOs!D251="","",CoDeSysIOs!G251)</f>
        <v/>
      </c>
      <c r="J251" s="70" t="s">
        <v>527</v>
      </c>
    </row>
    <row r="252" ht="14.25" customHeight="1">
      <c r="A252" s="33" t="str">
        <f>IF(CoDeSysIOs!C252=""," ","CODESYSSPV3/3S/IecVarAccess")</f>
        <v> </v>
      </c>
      <c r="B252" s="33" t="str">
        <f>IF(CoDeSysIOs!C252=""," ","String")</f>
        <v> </v>
      </c>
      <c r="C252" s="33" t="str">
        <f>IF(CoDeSysIOs!C252=""," ",J252&amp;""&amp;E252)</f>
        <v> </v>
      </c>
      <c r="D252" s="33" t="str">
        <f>IF(CoDeSysIOs!B252="","",CoDeSysIOs!H252)</f>
        <v/>
      </c>
      <c r="E252" s="33" t="str">
        <f>IF(CoDeSysIOs!C252=""," ",CoDeSysIOs!B252)</f>
        <v> </v>
      </c>
      <c r="F252" s="33" t="str">
        <f>IF(CoDeSysIOs!D252="","",CoDeSysIOs!G252)</f>
        <v/>
      </c>
      <c r="J252" s="70" t="s">
        <v>527</v>
      </c>
    </row>
    <row r="253" ht="14.25" customHeight="1">
      <c r="A253" s="33" t="str">
        <f>IF(CoDeSysIOs!C253=""," ","CODESYSSPV3/3S/IecVarAccess")</f>
        <v> </v>
      </c>
      <c r="B253" s="33" t="str">
        <f>IF(CoDeSysIOs!C253=""," ","String")</f>
        <v> </v>
      </c>
      <c r="C253" s="33" t="str">
        <f>IF(CoDeSysIOs!C253=""," ",J253&amp;""&amp;E253)</f>
        <v> </v>
      </c>
      <c r="D253" s="33" t="str">
        <f>IF(CoDeSysIOs!B253="","",CoDeSysIOs!H253)</f>
        <v/>
      </c>
      <c r="E253" s="33" t="str">
        <f>IF(CoDeSysIOs!C253=""," ",CoDeSysIOs!B253)</f>
        <v> </v>
      </c>
      <c r="F253" s="33" t="str">
        <f>IF(CoDeSysIOs!D253="","",CoDeSysIOs!G253)</f>
        <v/>
      </c>
      <c r="J253" s="70" t="s">
        <v>527</v>
      </c>
    </row>
    <row r="254" ht="14.25" customHeight="1">
      <c r="A254" s="33" t="str">
        <f>IF(CoDeSysIOs!C254=""," ","CODESYSSPV3/3S/IecVarAccess")</f>
        <v> </v>
      </c>
      <c r="B254" s="33" t="str">
        <f>IF(CoDeSysIOs!C254=""," ","String")</f>
        <v> </v>
      </c>
      <c r="C254" s="33" t="str">
        <f>IF(CoDeSysIOs!C254=""," ",J254&amp;""&amp;E254)</f>
        <v> </v>
      </c>
      <c r="D254" s="33" t="str">
        <f>IF(CoDeSysIOs!B254="","",CoDeSysIOs!H254)</f>
        <v/>
      </c>
      <c r="E254" s="33" t="str">
        <f>IF(CoDeSysIOs!C254=""," ",CoDeSysIOs!B254)</f>
        <v> </v>
      </c>
      <c r="F254" s="33" t="str">
        <f>IF(CoDeSysIOs!D254="","",CoDeSysIOs!G254)</f>
        <v/>
      </c>
      <c r="J254" s="70" t="s">
        <v>527</v>
      </c>
    </row>
    <row r="255" ht="14.25" customHeight="1">
      <c r="A255" s="33" t="str">
        <f>IF(CoDeSysIOs!C255=""," ","CODESYSSPV3/3S/IecVarAccess")</f>
        <v> </v>
      </c>
      <c r="B255" s="33" t="str">
        <f>IF(CoDeSysIOs!C255=""," ","String")</f>
        <v> </v>
      </c>
      <c r="C255" s="33" t="str">
        <f>IF(CoDeSysIOs!C255=""," ",J255&amp;""&amp;E255)</f>
        <v> </v>
      </c>
      <c r="D255" s="33" t="str">
        <f>IF(CoDeSysIOs!B255="","",CoDeSysIOs!H255)</f>
        <v/>
      </c>
      <c r="E255" s="33" t="str">
        <f>IF(CoDeSysIOs!C255=""," ",CoDeSysIOs!B255)</f>
        <v> </v>
      </c>
      <c r="F255" s="33" t="str">
        <f>IF(CoDeSysIOs!D255="","",CoDeSysIOs!G255)</f>
        <v/>
      </c>
      <c r="J255" s="70" t="s">
        <v>527</v>
      </c>
    </row>
    <row r="256" ht="14.25" customHeight="1">
      <c r="A256" s="33" t="str">
        <f>IF(CoDeSysIOs!C256=""," ","CODESYSSPV3/3S/IecVarAccess")</f>
        <v> </v>
      </c>
      <c r="B256" s="33" t="str">
        <f>IF(CoDeSysIOs!C256=""," ","String")</f>
        <v> </v>
      </c>
      <c r="C256" s="33" t="str">
        <f>IF(CoDeSysIOs!C256=""," ",J256&amp;""&amp;E256)</f>
        <v> </v>
      </c>
      <c r="D256" s="33" t="str">
        <f>IF(CoDeSysIOs!B256="","",CoDeSysIOs!H256)</f>
        <v/>
      </c>
      <c r="E256" s="33" t="str">
        <f>IF(CoDeSysIOs!C256=""," ",CoDeSysIOs!B256)</f>
        <v> </v>
      </c>
      <c r="F256" s="33" t="str">
        <f>IF(CoDeSysIOs!D256="","",CoDeSysIOs!G256)</f>
        <v/>
      </c>
      <c r="J256" s="70" t="s">
        <v>527</v>
      </c>
    </row>
    <row r="257" ht="14.25" customHeight="1">
      <c r="A257" s="33" t="str">
        <f>IF(CoDeSysIOs!C257=""," ","CODESYSSPV3/3S/IecVarAccess")</f>
        <v> </v>
      </c>
      <c r="B257" s="33" t="str">
        <f>IF(CoDeSysIOs!C257=""," ","String")</f>
        <v> </v>
      </c>
      <c r="C257" s="33" t="str">
        <f>IF(CoDeSysIOs!C257=""," ",J257&amp;""&amp;E257)</f>
        <v> </v>
      </c>
      <c r="D257" s="33" t="str">
        <f>IF(CoDeSysIOs!B257="","",CoDeSysIOs!H257)</f>
        <v/>
      </c>
      <c r="E257" s="33" t="str">
        <f>IF(CoDeSysIOs!C257=""," ",CoDeSysIOs!B257)</f>
        <v> </v>
      </c>
      <c r="F257" s="33" t="str">
        <f>IF(CoDeSysIOs!D257="","",CoDeSysIOs!G257)</f>
        <v/>
      </c>
      <c r="J257" s="70" t="s">
        <v>527</v>
      </c>
    </row>
    <row r="258" ht="14.25" customHeight="1">
      <c r="A258" s="33" t="str">
        <f>IF(CoDeSysIOs!C258=""," ","CODESYSSPV3/3S/IecVarAccess")</f>
        <v> </v>
      </c>
      <c r="B258" s="33" t="str">
        <f>IF(CoDeSysIOs!C258=""," ","String")</f>
        <v> </v>
      </c>
      <c r="C258" s="33" t="str">
        <f>IF(CoDeSysIOs!C258=""," ",J258&amp;""&amp;E258)</f>
        <v> </v>
      </c>
      <c r="D258" s="33" t="str">
        <f>IF(CoDeSysIOs!B258="","",CoDeSysIOs!H258)</f>
        <v/>
      </c>
      <c r="E258" s="33" t="str">
        <f>IF(CoDeSysIOs!C258=""," ",CoDeSysIOs!B258)</f>
        <v> </v>
      </c>
      <c r="F258" s="33" t="str">
        <f>IF(CoDeSysIOs!D258="","",CoDeSysIOs!G258)</f>
        <v/>
      </c>
      <c r="J258" s="70" t="s">
        <v>527</v>
      </c>
    </row>
    <row r="259" ht="14.25" customHeight="1">
      <c r="A259" s="33" t="str">
        <f>IF(CoDeSysIOs!C259=""," ","CODESYSSPV3/3S/IecVarAccess")</f>
        <v> </v>
      </c>
      <c r="B259" s="33" t="str">
        <f>IF(CoDeSysIOs!C259=""," ","String")</f>
        <v> </v>
      </c>
      <c r="C259" s="33" t="str">
        <f>IF(CoDeSysIOs!C259=""," ",J259&amp;""&amp;E259)</f>
        <v> </v>
      </c>
      <c r="D259" s="33" t="str">
        <f>IF(CoDeSysIOs!B259="","",CoDeSysIOs!H259)</f>
        <v/>
      </c>
      <c r="E259" s="33" t="str">
        <f>IF(CoDeSysIOs!C259=""," ",CoDeSysIOs!B259)</f>
        <v> </v>
      </c>
      <c r="F259" s="33" t="str">
        <f>IF(CoDeSysIOs!D259="","",CoDeSysIOs!G259)</f>
        <v/>
      </c>
      <c r="J259" s="70" t="s">
        <v>527</v>
      </c>
    </row>
    <row r="260" ht="14.25" customHeight="1">
      <c r="A260" s="33" t="str">
        <f>IF(CoDeSysIOs!C260=""," ","CODESYSSPV3/3S/IecVarAccess")</f>
        <v> </v>
      </c>
      <c r="B260" s="33" t="str">
        <f>IF(CoDeSysIOs!C260=""," ","String")</f>
        <v> </v>
      </c>
      <c r="C260" s="33" t="str">
        <f>IF(CoDeSysIOs!C260=""," ",J260&amp;""&amp;E260)</f>
        <v> </v>
      </c>
      <c r="D260" s="33" t="str">
        <f>IF(CoDeSysIOs!B260="","",CoDeSysIOs!H260)</f>
        <v/>
      </c>
      <c r="E260" s="33" t="str">
        <f>IF(CoDeSysIOs!C260=""," ",CoDeSysIOs!B260)</f>
        <v> </v>
      </c>
      <c r="F260" s="33" t="str">
        <f>IF(CoDeSysIOs!D260="","",CoDeSysIOs!G260)</f>
        <v/>
      </c>
      <c r="J260" s="70" t="s">
        <v>527</v>
      </c>
    </row>
    <row r="261" ht="14.25" customHeight="1">
      <c r="A261" s="33" t="str">
        <f>IF(CoDeSysIOs!C261=""," ","CODESYSSPV3/3S/IecVarAccess")</f>
        <v> </v>
      </c>
      <c r="B261" s="33" t="str">
        <f>IF(CoDeSysIOs!C261=""," ","String")</f>
        <v> </v>
      </c>
      <c r="C261" s="33" t="str">
        <f>IF(CoDeSysIOs!C261=""," ",J261&amp;""&amp;E261)</f>
        <v> </v>
      </c>
      <c r="D261" s="33" t="str">
        <f>IF(CoDeSysIOs!B261="","",CoDeSysIOs!H261)</f>
        <v/>
      </c>
      <c r="E261" s="33" t="str">
        <f>IF(CoDeSysIOs!C261=""," ",CoDeSysIOs!B261)</f>
        <v> </v>
      </c>
      <c r="F261" s="33" t="str">
        <f>IF(CoDeSysIOs!D261="","",CoDeSysIOs!G261)</f>
        <v/>
      </c>
      <c r="J261" s="70" t="s">
        <v>527</v>
      </c>
    </row>
    <row r="262" ht="14.25" customHeight="1">
      <c r="A262" s="33" t="str">
        <f>IF(CoDeSysIOs!C262=""," ","CODESYSSPV3/3S/IecVarAccess")</f>
        <v> </v>
      </c>
      <c r="B262" s="33" t="str">
        <f>IF(CoDeSysIOs!C262=""," ","String")</f>
        <v> </v>
      </c>
      <c r="C262" s="33" t="str">
        <f>IF(CoDeSysIOs!C262=""," ",J262&amp;""&amp;E262)</f>
        <v> </v>
      </c>
      <c r="D262" s="33" t="str">
        <f>IF(CoDeSysIOs!B262="","",CoDeSysIOs!H262)</f>
        <v/>
      </c>
      <c r="E262" s="33" t="str">
        <f>IF(CoDeSysIOs!C262=""," ",CoDeSysIOs!B262)</f>
        <v> </v>
      </c>
      <c r="F262" s="33" t="str">
        <f>IF(CoDeSysIOs!D262="","",CoDeSysIOs!G262)</f>
        <v/>
      </c>
      <c r="J262" s="70" t="s">
        <v>527</v>
      </c>
    </row>
    <row r="263" ht="14.25" customHeight="1">
      <c r="A263" s="33" t="str">
        <f>IF(CoDeSysIOs!C263=""," ","CODESYSSPV3/3S/IecVarAccess")</f>
        <v> </v>
      </c>
      <c r="B263" s="33" t="str">
        <f>IF(CoDeSysIOs!C263=""," ","String")</f>
        <v> </v>
      </c>
      <c r="C263" s="33" t="str">
        <f>IF(CoDeSysIOs!C263=""," ",J263&amp;""&amp;E263)</f>
        <v> </v>
      </c>
      <c r="D263" s="33" t="str">
        <f>IF(CoDeSysIOs!B263="","",CoDeSysIOs!H263)</f>
        <v/>
      </c>
      <c r="E263" s="33" t="str">
        <f>IF(CoDeSysIOs!C263=""," ",CoDeSysIOs!B263)</f>
        <v> </v>
      </c>
      <c r="F263" s="33" t="str">
        <f>IF(CoDeSysIOs!D263="","",CoDeSysIOs!G263)</f>
        <v/>
      </c>
      <c r="J263" s="70" t="s">
        <v>527</v>
      </c>
    </row>
    <row r="264" ht="14.25" customHeight="1">
      <c r="A264" s="33" t="str">
        <f>IF(CoDeSysIOs!C264=""," ","CODESYSSPV3/3S/IecVarAccess")</f>
        <v> </v>
      </c>
      <c r="B264" s="33" t="str">
        <f>IF(CoDeSysIOs!C264=""," ","String")</f>
        <v> </v>
      </c>
      <c r="C264" s="33" t="str">
        <f>IF(CoDeSysIOs!C264=""," ",J264&amp;""&amp;E264)</f>
        <v> </v>
      </c>
      <c r="D264" s="33" t="str">
        <f>IF(CoDeSysIOs!B264="","",CoDeSysIOs!H264)</f>
        <v/>
      </c>
      <c r="E264" s="33" t="str">
        <f>IF(CoDeSysIOs!C264=""," ",CoDeSysIOs!B264)</f>
        <v> </v>
      </c>
      <c r="F264" s="33" t="str">
        <f>IF(CoDeSysIOs!D264="","",CoDeSysIOs!G264)</f>
        <v/>
      </c>
      <c r="J264" s="70" t="s">
        <v>527</v>
      </c>
    </row>
    <row r="265" ht="14.25" customHeight="1">
      <c r="A265" s="33" t="str">
        <f>IF(CoDeSysIOs!C265=""," ","CODESYSSPV3/3S/IecVarAccess")</f>
        <v> </v>
      </c>
      <c r="B265" s="33" t="str">
        <f>IF(CoDeSysIOs!C265=""," ","String")</f>
        <v> </v>
      </c>
      <c r="C265" s="33" t="str">
        <f>IF(CoDeSysIOs!C265=""," ",J265&amp;""&amp;E265)</f>
        <v> </v>
      </c>
      <c r="D265" s="33" t="str">
        <f>IF(CoDeSysIOs!B265="","",CoDeSysIOs!H265)</f>
        <v/>
      </c>
      <c r="E265" s="33" t="str">
        <f>IF(CoDeSysIOs!C265=""," ",CoDeSysIOs!B265)</f>
        <v> </v>
      </c>
      <c r="F265" s="33" t="str">
        <f>IF(CoDeSysIOs!D265="","",CoDeSysIOs!G265)</f>
        <v/>
      </c>
      <c r="J265" s="70" t="s">
        <v>527</v>
      </c>
    </row>
    <row r="266" ht="14.25" customHeight="1">
      <c r="A266" s="33" t="str">
        <f>IF(CoDeSysIOs!C266=""," ","CODESYSSPV3/3S/IecVarAccess")</f>
        <v> </v>
      </c>
      <c r="B266" s="33" t="str">
        <f>IF(CoDeSysIOs!C266=""," ","String")</f>
        <v> </v>
      </c>
      <c r="C266" s="33" t="str">
        <f>IF(CoDeSysIOs!C266=""," ",J266&amp;""&amp;E266)</f>
        <v> </v>
      </c>
      <c r="D266" s="33" t="str">
        <f>IF(CoDeSysIOs!B266="","",CoDeSysIOs!H266)</f>
        <v/>
      </c>
      <c r="E266" s="33" t="str">
        <f>IF(CoDeSysIOs!C266=""," ",CoDeSysIOs!B266)</f>
        <v> </v>
      </c>
      <c r="F266" s="33" t="str">
        <f>IF(CoDeSysIOs!D266="","",CoDeSysIOs!G266)</f>
        <v/>
      </c>
      <c r="J266" s="70" t="s">
        <v>527</v>
      </c>
    </row>
    <row r="267" ht="14.25" customHeight="1">
      <c r="A267" s="33" t="str">
        <f>IF(CoDeSysIOs!C267=""," ","CODESYSSPV3/3S/IecVarAccess")</f>
        <v> </v>
      </c>
      <c r="B267" s="33" t="str">
        <f>IF(CoDeSysIOs!C267=""," ","String")</f>
        <v> </v>
      </c>
      <c r="C267" s="33" t="str">
        <f>IF(CoDeSysIOs!C267=""," ",J267&amp;""&amp;E267)</f>
        <v> </v>
      </c>
      <c r="D267" s="33" t="str">
        <f>IF(CoDeSysIOs!B267="","",CoDeSysIOs!H267)</f>
        <v/>
      </c>
      <c r="E267" s="33" t="str">
        <f>IF(CoDeSysIOs!C267=""," ",CoDeSysIOs!B267)</f>
        <v> </v>
      </c>
      <c r="F267" s="33" t="str">
        <f>IF(CoDeSysIOs!D267="","",CoDeSysIOs!G267)</f>
        <v/>
      </c>
      <c r="J267" s="70" t="s">
        <v>527</v>
      </c>
    </row>
    <row r="268" ht="14.25" customHeight="1">
      <c r="A268" s="33" t="str">
        <f>IF(CoDeSysIOs!C268=""," ","CODESYSSPV3/3S/IecVarAccess")</f>
        <v> </v>
      </c>
      <c r="B268" s="33" t="str">
        <f>IF(CoDeSysIOs!C268=""," ","String")</f>
        <v> </v>
      </c>
      <c r="C268" s="33" t="str">
        <f>IF(CoDeSysIOs!C268=""," ",J268&amp;""&amp;E268)</f>
        <v> </v>
      </c>
      <c r="D268" s="33" t="str">
        <f>IF(CoDeSysIOs!B268="","",CoDeSysIOs!H268)</f>
        <v/>
      </c>
      <c r="E268" s="33" t="str">
        <f>IF(CoDeSysIOs!C268=""," ",CoDeSysIOs!B268)</f>
        <v> </v>
      </c>
      <c r="F268" s="33" t="str">
        <f>IF(CoDeSysIOs!D268="","",CoDeSysIOs!G268)</f>
        <v/>
      </c>
      <c r="J268" s="70" t="s">
        <v>527</v>
      </c>
    </row>
    <row r="269" ht="14.25" customHeight="1">
      <c r="A269" s="33" t="str">
        <f>IF(CoDeSysIOs!C269=""," ","CODESYSSPV3/3S/IecVarAccess")</f>
        <v> </v>
      </c>
      <c r="B269" s="33" t="str">
        <f>IF(CoDeSysIOs!C269=""," ","String")</f>
        <v> </v>
      </c>
      <c r="C269" s="33" t="str">
        <f>IF(CoDeSysIOs!C269=""," ",J269&amp;""&amp;E269)</f>
        <v> </v>
      </c>
      <c r="D269" s="33" t="str">
        <f>IF(CoDeSysIOs!B269="","",CoDeSysIOs!H269)</f>
        <v/>
      </c>
      <c r="E269" s="33" t="str">
        <f>IF(CoDeSysIOs!C269=""," ",CoDeSysIOs!B269)</f>
        <v> </v>
      </c>
      <c r="F269" s="33" t="str">
        <f>IF(CoDeSysIOs!D269="","",CoDeSysIOs!G269)</f>
        <v/>
      </c>
      <c r="J269" s="70" t="s">
        <v>527</v>
      </c>
    </row>
    <row r="270" ht="14.25" customHeight="1">
      <c r="A270" s="33" t="str">
        <f>IF(CoDeSysIOs!C270=""," ","CODESYSSPV3/3S/IecVarAccess")</f>
        <v> </v>
      </c>
      <c r="B270" s="33" t="str">
        <f>IF(CoDeSysIOs!C270=""," ","String")</f>
        <v> </v>
      </c>
      <c r="C270" s="33" t="str">
        <f>IF(CoDeSysIOs!C270=""," ",J270&amp;""&amp;E270)</f>
        <v> </v>
      </c>
      <c r="D270" s="33" t="str">
        <f>IF(CoDeSysIOs!B270="","",CoDeSysIOs!H270)</f>
        <v/>
      </c>
      <c r="E270" s="33" t="str">
        <f>IF(CoDeSysIOs!C270=""," ",CoDeSysIOs!B270)</f>
        <v> </v>
      </c>
      <c r="F270" s="33" t="str">
        <f>IF(CoDeSysIOs!D270="","",CoDeSysIOs!G270)</f>
        <v/>
      </c>
      <c r="J270" s="70" t="s">
        <v>527</v>
      </c>
    </row>
    <row r="271" ht="14.25" customHeight="1">
      <c r="A271" s="33" t="str">
        <f>IF(CoDeSysIOs!C271=""," ","CODESYSSPV3/3S/IecVarAccess")</f>
        <v> </v>
      </c>
      <c r="B271" s="33" t="str">
        <f>IF(CoDeSysIOs!C271=""," ","String")</f>
        <v> </v>
      </c>
      <c r="C271" s="33" t="str">
        <f>IF(CoDeSysIOs!C271=""," ",J271&amp;""&amp;E271)</f>
        <v> </v>
      </c>
      <c r="D271" s="33" t="str">
        <f>IF(CoDeSysIOs!B271="","",CoDeSysIOs!H271)</f>
        <v/>
      </c>
      <c r="E271" s="33" t="str">
        <f>IF(CoDeSysIOs!C271=""," ",CoDeSysIOs!B271)</f>
        <v> </v>
      </c>
      <c r="F271" s="33" t="str">
        <f>IF(CoDeSysIOs!D271="","",CoDeSysIOs!G271)</f>
        <v/>
      </c>
      <c r="J271" s="70" t="s">
        <v>527</v>
      </c>
    </row>
    <row r="272" ht="14.25" customHeight="1">
      <c r="A272" s="33" t="str">
        <f>IF(CoDeSysIOs!C272=""," ","CODESYSSPV3/3S/IecVarAccess")</f>
        <v> </v>
      </c>
      <c r="B272" s="33" t="str">
        <f>IF(CoDeSysIOs!C272=""," ","String")</f>
        <v> </v>
      </c>
      <c r="C272" s="33" t="str">
        <f>IF(CoDeSysIOs!C272=""," ",J272&amp;""&amp;E272)</f>
        <v> </v>
      </c>
      <c r="D272" s="33" t="str">
        <f>IF(CoDeSysIOs!B272="","",CoDeSysIOs!H272)</f>
        <v/>
      </c>
      <c r="E272" s="33" t="str">
        <f>IF(CoDeSysIOs!C272=""," ",CoDeSysIOs!B272)</f>
        <v> </v>
      </c>
      <c r="F272" s="33" t="str">
        <f>IF(CoDeSysIOs!D272="","",CoDeSysIOs!G272)</f>
        <v/>
      </c>
      <c r="J272" s="70" t="s">
        <v>527</v>
      </c>
    </row>
    <row r="273" ht="14.25" customHeight="1">
      <c r="A273" s="33" t="str">
        <f>IF(CoDeSysIOs!C273=""," ","CODESYSSPV3/3S/IecVarAccess")</f>
        <v> </v>
      </c>
      <c r="B273" s="33" t="str">
        <f>IF(CoDeSysIOs!C273=""," ","String")</f>
        <v> </v>
      </c>
      <c r="C273" s="33" t="str">
        <f>IF(CoDeSysIOs!C273=""," ",J273&amp;""&amp;E273)</f>
        <v> </v>
      </c>
      <c r="D273" s="33" t="str">
        <f>IF(CoDeSysIOs!B273="","",CoDeSysIOs!H273)</f>
        <v/>
      </c>
      <c r="E273" s="33" t="str">
        <f>IF(CoDeSysIOs!C273=""," ",CoDeSysIOs!B273)</f>
        <v> </v>
      </c>
      <c r="F273" s="33" t="str">
        <f>IF(CoDeSysIOs!D273="","",CoDeSysIOs!G273)</f>
        <v/>
      </c>
      <c r="J273" s="70" t="s">
        <v>527</v>
      </c>
    </row>
    <row r="274" ht="14.25" customHeight="1">
      <c r="A274" s="33" t="str">
        <f>IF(CoDeSysIOs!C274=""," ","CODESYSSPV3/3S/IecVarAccess")</f>
        <v> </v>
      </c>
      <c r="B274" s="33" t="str">
        <f>IF(CoDeSysIOs!C274=""," ","String")</f>
        <v> </v>
      </c>
      <c r="C274" s="33" t="str">
        <f>IF(CoDeSysIOs!C274=""," ",J274&amp;""&amp;E274)</f>
        <v> </v>
      </c>
      <c r="D274" s="33" t="str">
        <f>IF(CoDeSysIOs!B274="","",CoDeSysIOs!H274)</f>
        <v/>
      </c>
      <c r="E274" s="33" t="str">
        <f>IF(CoDeSysIOs!C274=""," ",CoDeSysIOs!B274)</f>
        <v> </v>
      </c>
      <c r="F274" s="33" t="str">
        <f>IF(CoDeSysIOs!D274="","",CoDeSysIOs!G274)</f>
        <v/>
      </c>
      <c r="J274" s="70" t="s">
        <v>527</v>
      </c>
    </row>
    <row r="275" ht="14.25" customHeight="1">
      <c r="A275" s="33" t="str">
        <f>IF(CoDeSysIOs!C275=""," ","CODESYSSPV3/3S/IecVarAccess")</f>
        <v> </v>
      </c>
      <c r="B275" s="33" t="str">
        <f>IF(CoDeSysIOs!C275=""," ","String")</f>
        <v> </v>
      </c>
      <c r="C275" s="33" t="str">
        <f>IF(CoDeSysIOs!C275=""," ",J275&amp;""&amp;E275)</f>
        <v> </v>
      </c>
      <c r="D275" s="33" t="str">
        <f>IF(CoDeSysIOs!B275="","",CoDeSysIOs!H275)</f>
        <v/>
      </c>
      <c r="E275" s="33" t="str">
        <f>IF(CoDeSysIOs!C275=""," ",CoDeSysIOs!B275)</f>
        <v> </v>
      </c>
      <c r="F275" s="33" t="str">
        <f>IF(CoDeSysIOs!D275="","",CoDeSysIOs!G275)</f>
        <v/>
      </c>
      <c r="J275" s="70" t="s">
        <v>527</v>
      </c>
    </row>
    <row r="276" ht="14.25" customHeight="1">
      <c r="A276" s="33" t="str">
        <f>IF(CoDeSysIOs!C276=""," ","CODESYSSPV3/3S/IecVarAccess")</f>
        <v> </v>
      </c>
      <c r="B276" s="33" t="str">
        <f>IF(CoDeSysIOs!C276=""," ","String")</f>
        <v> </v>
      </c>
      <c r="C276" s="33" t="str">
        <f>IF(CoDeSysIOs!C276=""," ",J276&amp;""&amp;E276)</f>
        <v> </v>
      </c>
      <c r="D276" s="33" t="str">
        <f>IF(CoDeSysIOs!B276="","",CoDeSysIOs!H276)</f>
        <v/>
      </c>
      <c r="E276" s="33" t="str">
        <f>IF(CoDeSysIOs!C276=""," ",CoDeSysIOs!B276)</f>
        <v> </v>
      </c>
      <c r="F276" s="33" t="str">
        <f>IF(CoDeSysIOs!D276="","",CoDeSysIOs!G276)</f>
        <v/>
      </c>
      <c r="J276" s="70" t="s">
        <v>527</v>
      </c>
    </row>
    <row r="277" ht="14.25" customHeight="1">
      <c r="A277" s="33" t="str">
        <f>IF(CoDeSysIOs!C277=""," ","CODESYSSPV3/3S/IecVarAccess")</f>
        <v> </v>
      </c>
      <c r="B277" s="33" t="str">
        <f>IF(CoDeSysIOs!C277=""," ","String")</f>
        <v> </v>
      </c>
      <c r="C277" s="33" t="str">
        <f>IF(CoDeSysIOs!C277=""," ",J277&amp;""&amp;E277)</f>
        <v> </v>
      </c>
      <c r="D277" s="33" t="str">
        <f>IF(CoDeSysIOs!B277="","",CoDeSysIOs!H277)</f>
        <v/>
      </c>
      <c r="E277" s="33" t="str">
        <f>IF(CoDeSysIOs!C277=""," ",CoDeSysIOs!B277)</f>
        <v> </v>
      </c>
      <c r="F277" s="33" t="str">
        <f>IF(CoDeSysIOs!D277="","",CoDeSysIOs!G277)</f>
        <v/>
      </c>
      <c r="J277" s="70" t="s">
        <v>527</v>
      </c>
    </row>
    <row r="278" ht="14.25" customHeight="1">
      <c r="A278" s="33" t="str">
        <f>IF(CoDeSysIOs!C278=""," ","CODESYSSPV3/3S/IecVarAccess")</f>
        <v> </v>
      </c>
      <c r="B278" s="33" t="str">
        <f>IF(CoDeSysIOs!C278=""," ","String")</f>
        <v> </v>
      </c>
      <c r="C278" s="33" t="str">
        <f>IF(CoDeSysIOs!C278=""," ",J278&amp;""&amp;E278)</f>
        <v> </v>
      </c>
      <c r="D278" s="33" t="str">
        <f>IF(CoDeSysIOs!B278="","",CoDeSysIOs!H278)</f>
        <v/>
      </c>
      <c r="E278" s="33" t="str">
        <f>IF(CoDeSysIOs!C278=""," ",CoDeSysIOs!B278)</f>
        <v> </v>
      </c>
      <c r="F278" s="33" t="str">
        <f>IF(CoDeSysIOs!D278="","",CoDeSysIOs!G278)</f>
        <v/>
      </c>
      <c r="J278" s="70" t="s">
        <v>527</v>
      </c>
    </row>
    <row r="279" ht="14.25" customHeight="1">
      <c r="A279" s="33" t="str">
        <f>IF(CoDeSysIOs!C279=""," ","CODESYSSPV3/3S/IecVarAccess")</f>
        <v> </v>
      </c>
      <c r="B279" s="33" t="str">
        <f>IF(CoDeSysIOs!C279=""," ","String")</f>
        <v> </v>
      </c>
      <c r="C279" s="33" t="str">
        <f>IF(CoDeSysIOs!C279=""," ",J279&amp;""&amp;E279)</f>
        <v> </v>
      </c>
      <c r="D279" s="33" t="str">
        <f>IF(CoDeSysIOs!B279="","",CoDeSysIOs!H279)</f>
        <v/>
      </c>
      <c r="E279" s="33" t="str">
        <f>IF(CoDeSysIOs!C279=""," ",CoDeSysIOs!B279)</f>
        <v> </v>
      </c>
      <c r="F279" s="33" t="str">
        <f>IF(CoDeSysIOs!D279="","",CoDeSysIOs!G279)</f>
        <v/>
      </c>
      <c r="J279" s="70" t="s">
        <v>527</v>
      </c>
    </row>
    <row r="280" ht="14.25" customHeight="1">
      <c r="A280" s="33" t="str">
        <f>IF(CoDeSysIOs!C280=""," ","CODESYSSPV3/3S/IecVarAccess")</f>
        <v> </v>
      </c>
      <c r="B280" s="33" t="str">
        <f>IF(CoDeSysIOs!C280=""," ","String")</f>
        <v> </v>
      </c>
      <c r="C280" s="33" t="str">
        <f>IF(CoDeSysIOs!C280=""," ",J280&amp;""&amp;E280)</f>
        <v> </v>
      </c>
      <c r="D280" s="33" t="str">
        <f>IF(CoDeSysIOs!B280="","",CoDeSysIOs!H280)</f>
        <v/>
      </c>
      <c r="E280" s="33" t="str">
        <f>IF(CoDeSysIOs!C280=""," ",CoDeSysIOs!B280)</f>
        <v> </v>
      </c>
      <c r="F280" s="33" t="str">
        <f>IF(CoDeSysIOs!D280="","",CoDeSysIOs!G280)</f>
        <v/>
      </c>
      <c r="J280" s="70" t="s">
        <v>527</v>
      </c>
    </row>
    <row r="281" ht="14.25" customHeight="1">
      <c r="A281" s="33" t="str">
        <f>IF(CoDeSysIOs!C281=""," ","CODESYSSPV3/3S/IecVarAccess")</f>
        <v> </v>
      </c>
      <c r="B281" s="33" t="str">
        <f>IF(CoDeSysIOs!C281=""," ","String")</f>
        <v> </v>
      </c>
      <c r="C281" s="33" t="str">
        <f>IF(CoDeSysIOs!C281=""," ",J281&amp;""&amp;E281)</f>
        <v> </v>
      </c>
      <c r="D281" s="33" t="str">
        <f>IF(CoDeSysIOs!B281="","",CoDeSysIOs!H281)</f>
        <v/>
      </c>
      <c r="E281" s="33" t="str">
        <f>IF(CoDeSysIOs!C281=""," ",CoDeSysIOs!B281)</f>
        <v> </v>
      </c>
      <c r="F281" s="33" t="str">
        <f>IF(CoDeSysIOs!D281="","",CoDeSysIOs!G281)</f>
        <v/>
      </c>
      <c r="J281" s="70" t="s">
        <v>527</v>
      </c>
    </row>
    <row r="282" ht="14.25" customHeight="1">
      <c r="A282" s="33" t="str">
        <f>IF(CoDeSysIOs!C282=""," ","CODESYSSPV3/3S/IecVarAccess")</f>
        <v> </v>
      </c>
      <c r="B282" s="33" t="str">
        <f>IF(CoDeSysIOs!C282=""," ","String")</f>
        <v> </v>
      </c>
      <c r="C282" s="33" t="str">
        <f>IF(CoDeSysIOs!C282=""," ",J282&amp;""&amp;E282)</f>
        <v> </v>
      </c>
      <c r="D282" s="33" t="str">
        <f>IF(CoDeSysIOs!B282="","",CoDeSysIOs!H282)</f>
        <v/>
      </c>
      <c r="E282" s="33" t="str">
        <f>IF(CoDeSysIOs!C282=""," ",CoDeSysIOs!B282)</f>
        <v> </v>
      </c>
      <c r="F282" s="33" t="str">
        <f>IF(CoDeSysIOs!D282="","",CoDeSysIOs!G282)</f>
        <v/>
      </c>
      <c r="J282" s="70" t="s">
        <v>527</v>
      </c>
    </row>
    <row r="283" ht="14.25" customHeight="1">
      <c r="A283" s="33" t="str">
        <f>IF(CoDeSysIOs!C283=""," ","CODESYSSPV3/3S/IecVarAccess")</f>
        <v> </v>
      </c>
      <c r="B283" s="33" t="str">
        <f>IF(CoDeSysIOs!C283=""," ","String")</f>
        <v> </v>
      </c>
      <c r="C283" s="33" t="str">
        <f>IF(CoDeSysIOs!C283=""," ",J283&amp;""&amp;E283)</f>
        <v> </v>
      </c>
      <c r="D283" s="33" t="str">
        <f>IF(CoDeSysIOs!B283="","",CoDeSysIOs!H283)</f>
        <v/>
      </c>
      <c r="E283" s="33" t="str">
        <f>IF(CoDeSysIOs!C283=""," ",CoDeSysIOs!B283)</f>
        <v> </v>
      </c>
      <c r="F283" s="33" t="str">
        <f>IF(CoDeSysIOs!D283="","",CoDeSysIOs!G283)</f>
        <v/>
      </c>
      <c r="J283" s="70" t="s">
        <v>527</v>
      </c>
    </row>
    <row r="284" ht="14.25" customHeight="1">
      <c r="A284" s="33" t="str">
        <f>IF(CoDeSysIOs!C284=""," ","CODESYSSPV3/3S/IecVarAccess")</f>
        <v> </v>
      </c>
      <c r="B284" s="33" t="str">
        <f>IF(CoDeSysIOs!C284=""," ","String")</f>
        <v> </v>
      </c>
      <c r="C284" s="33" t="str">
        <f>IF(CoDeSysIOs!C284=""," ",J284&amp;""&amp;E284)</f>
        <v> </v>
      </c>
      <c r="D284" s="33" t="str">
        <f>IF(CoDeSysIOs!B284="","",CoDeSysIOs!H284)</f>
        <v/>
      </c>
      <c r="E284" s="33" t="str">
        <f>IF(CoDeSysIOs!C284=""," ",CoDeSysIOs!B284)</f>
        <v> </v>
      </c>
      <c r="F284" s="33" t="str">
        <f>IF(CoDeSysIOs!D284="","",CoDeSysIOs!G284)</f>
        <v/>
      </c>
      <c r="J284" s="70" t="s">
        <v>527</v>
      </c>
    </row>
    <row r="285" ht="14.25" customHeight="1">
      <c r="A285" s="33" t="str">
        <f>IF(CoDeSysIOs!C285=""," ","CODESYSSPV3/3S/IecVarAccess")</f>
        <v> </v>
      </c>
      <c r="B285" s="33" t="str">
        <f>IF(CoDeSysIOs!C285=""," ","String")</f>
        <v> </v>
      </c>
      <c r="C285" s="33" t="str">
        <f>IF(CoDeSysIOs!C285=""," ",J285&amp;""&amp;E285)</f>
        <v> </v>
      </c>
      <c r="D285" s="33" t="str">
        <f>IF(CoDeSysIOs!B285="","",CoDeSysIOs!H285)</f>
        <v/>
      </c>
      <c r="E285" s="33" t="str">
        <f>IF(CoDeSysIOs!C285=""," ",CoDeSysIOs!B285)</f>
        <v> </v>
      </c>
      <c r="F285" s="33" t="str">
        <f>IF(CoDeSysIOs!D285="","",CoDeSysIOs!G285)</f>
        <v/>
      </c>
      <c r="J285" s="70" t="s">
        <v>527</v>
      </c>
    </row>
    <row r="286" ht="14.25" customHeight="1">
      <c r="A286" s="33" t="str">
        <f>IF(CoDeSysIOs!C286=""," ","CODESYSSPV3/3S/IecVarAccess")</f>
        <v> </v>
      </c>
      <c r="B286" s="33" t="str">
        <f>IF(CoDeSysIOs!C286=""," ","String")</f>
        <v> </v>
      </c>
      <c r="C286" s="33" t="str">
        <f>IF(CoDeSysIOs!C286=""," ",J286&amp;""&amp;E286)</f>
        <v> </v>
      </c>
      <c r="D286" s="33" t="str">
        <f>IF(CoDeSysIOs!B286="","",CoDeSysIOs!H286)</f>
        <v/>
      </c>
      <c r="E286" s="33" t="str">
        <f>IF(CoDeSysIOs!C286=""," ",CoDeSysIOs!B286)</f>
        <v> </v>
      </c>
      <c r="F286" s="33" t="str">
        <f>IF(CoDeSysIOs!D286="","",CoDeSysIOs!G286)</f>
        <v/>
      </c>
      <c r="J286" s="70" t="s">
        <v>527</v>
      </c>
    </row>
    <row r="287" ht="14.25" customHeight="1">
      <c r="A287" s="33" t="str">
        <f>IF(CoDeSysIOs!C287=""," ","CODESYSSPV3/3S/IecVarAccess")</f>
        <v> </v>
      </c>
      <c r="B287" s="33" t="str">
        <f>IF(CoDeSysIOs!C287=""," ","String")</f>
        <v> </v>
      </c>
      <c r="C287" s="33" t="str">
        <f>IF(CoDeSysIOs!C287=""," ",J287&amp;""&amp;E287)</f>
        <v> </v>
      </c>
      <c r="D287" s="33" t="str">
        <f>IF(CoDeSysIOs!B287="","",CoDeSysIOs!H287)</f>
        <v/>
      </c>
      <c r="E287" s="33" t="str">
        <f>IF(CoDeSysIOs!C287=""," ",CoDeSysIOs!B287)</f>
        <v> </v>
      </c>
      <c r="F287" s="33" t="str">
        <f>IF(CoDeSysIOs!D287="","",CoDeSysIOs!G287)</f>
        <v/>
      </c>
      <c r="J287" s="70" t="s">
        <v>527</v>
      </c>
    </row>
    <row r="288" ht="14.25" customHeight="1">
      <c r="A288" s="33" t="str">
        <f>IF(CoDeSysIOs!C288=""," ","CODESYSSPV3/3S/IecVarAccess")</f>
        <v> </v>
      </c>
      <c r="B288" s="33" t="str">
        <f>IF(CoDeSysIOs!C288=""," ","String")</f>
        <v> </v>
      </c>
      <c r="C288" s="33" t="str">
        <f>IF(CoDeSysIOs!C288=""," ",J288&amp;""&amp;E288)</f>
        <v> </v>
      </c>
      <c r="D288" s="33" t="str">
        <f>IF(CoDeSysIOs!B288="","",CoDeSysIOs!H288)</f>
        <v/>
      </c>
      <c r="E288" s="33" t="str">
        <f>IF(CoDeSysIOs!C288=""," ",CoDeSysIOs!B288)</f>
        <v> </v>
      </c>
      <c r="F288" s="33" t="str">
        <f>IF(CoDeSysIOs!D288="","",CoDeSysIOs!G288)</f>
        <v/>
      </c>
      <c r="J288" s="70" t="s">
        <v>527</v>
      </c>
    </row>
    <row r="289" ht="14.25" customHeight="1">
      <c r="A289" s="33" t="str">
        <f>IF(CoDeSysIOs!C289=""," ","CODESYSSPV3/3S/IecVarAccess")</f>
        <v> </v>
      </c>
      <c r="B289" s="33" t="str">
        <f>IF(CoDeSysIOs!C289=""," ","String")</f>
        <v> </v>
      </c>
      <c r="C289" s="33" t="str">
        <f>IF(CoDeSysIOs!C289=""," ",J289&amp;""&amp;E289)</f>
        <v> </v>
      </c>
      <c r="D289" s="33" t="str">
        <f>IF(CoDeSysIOs!B289="","",CoDeSysIOs!H289)</f>
        <v/>
      </c>
      <c r="E289" s="33" t="str">
        <f>IF(CoDeSysIOs!C289=""," ",CoDeSysIOs!B289)</f>
        <v> </v>
      </c>
      <c r="F289" s="33" t="str">
        <f>IF(CoDeSysIOs!D289="","",CoDeSysIOs!G289)</f>
        <v/>
      </c>
      <c r="J289" s="70" t="s">
        <v>527</v>
      </c>
    </row>
    <row r="290" ht="14.25" customHeight="1">
      <c r="A290" s="33" t="str">
        <f>IF(CoDeSysIOs!C290=""," ","CODESYSSPV3/3S/IecVarAccess")</f>
        <v> </v>
      </c>
      <c r="B290" s="33" t="str">
        <f>IF(CoDeSysIOs!C290=""," ","String")</f>
        <v> </v>
      </c>
      <c r="C290" s="33" t="str">
        <f>IF(CoDeSysIOs!C290=""," ",J290&amp;""&amp;E290)</f>
        <v> </v>
      </c>
      <c r="D290" s="33" t="str">
        <f>IF(CoDeSysIOs!B290="","",CoDeSysIOs!H290)</f>
        <v/>
      </c>
      <c r="E290" s="33" t="str">
        <f>IF(CoDeSysIOs!C290=""," ",CoDeSysIOs!B290)</f>
        <v> </v>
      </c>
      <c r="F290" s="33" t="str">
        <f>IF(CoDeSysIOs!D290="","",CoDeSysIOs!G290)</f>
        <v/>
      </c>
      <c r="J290" s="70" t="s">
        <v>527</v>
      </c>
    </row>
    <row r="291" ht="14.25" customHeight="1">
      <c r="A291" s="33" t="str">
        <f>IF(CoDeSysIOs!C291=""," ","CODESYSSPV3/3S/IecVarAccess")</f>
        <v> </v>
      </c>
      <c r="B291" s="33" t="str">
        <f>IF(CoDeSysIOs!C291=""," ","String")</f>
        <v> </v>
      </c>
      <c r="C291" s="33" t="str">
        <f>IF(CoDeSysIOs!C291=""," ",J291&amp;""&amp;E291)</f>
        <v> </v>
      </c>
      <c r="D291" s="33" t="str">
        <f>IF(CoDeSysIOs!B291="","",CoDeSysIOs!H291)</f>
        <v/>
      </c>
      <c r="E291" s="33" t="str">
        <f>IF(CoDeSysIOs!C291=""," ",CoDeSysIOs!B291)</f>
        <v> </v>
      </c>
      <c r="F291" s="33" t="str">
        <f>IF(CoDeSysIOs!D291="","",CoDeSysIOs!G291)</f>
        <v/>
      </c>
      <c r="J291" s="70" t="s">
        <v>527</v>
      </c>
    </row>
    <row r="292" ht="14.25" customHeight="1">
      <c r="A292" s="33" t="str">
        <f>IF(CoDeSysIOs!C292=""," ","CODESYSSPV3/3S/IecVarAccess")</f>
        <v> </v>
      </c>
      <c r="B292" s="33" t="str">
        <f>IF(CoDeSysIOs!C292=""," ","String")</f>
        <v> </v>
      </c>
      <c r="C292" s="33" t="str">
        <f>IF(CoDeSysIOs!C292=""," ",J292&amp;""&amp;E292)</f>
        <v> </v>
      </c>
      <c r="D292" s="33" t="str">
        <f>IF(CoDeSysIOs!B292="","",CoDeSysIOs!H292)</f>
        <v/>
      </c>
      <c r="E292" s="33" t="str">
        <f>IF(CoDeSysIOs!C292=""," ",CoDeSysIOs!B292)</f>
        <v> </v>
      </c>
      <c r="F292" s="33" t="str">
        <f>IF(CoDeSysIOs!D292="","",CoDeSysIOs!G292)</f>
        <v/>
      </c>
      <c r="J292" s="70" t="s">
        <v>527</v>
      </c>
    </row>
    <row r="293" ht="14.25" customHeight="1">
      <c r="A293" s="33" t="str">
        <f>IF(CoDeSysIOs!C293=""," ","CODESYSSPV3/3S/IecVarAccess")</f>
        <v> </v>
      </c>
      <c r="B293" s="33" t="str">
        <f>IF(CoDeSysIOs!C293=""," ","String")</f>
        <v> </v>
      </c>
      <c r="C293" s="33" t="str">
        <f>IF(CoDeSysIOs!C293=""," ",J293&amp;""&amp;E293)</f>
        <v> </v>
      </c>
      <c r="D293" s="33" t="str">
        <f>IF(CoDeSysIOs!B293="","",CoDeSysIOs!H293)</f>
        <v/>
      </c>
      <c r="E293" s="33" t="str">
        <f>IF(CoDeSysIOs!C293=""," ",CoDeSysIOs!B293)</f>
        <v> </v>
      </c>
      <c r="F293" s="33" t="str">
        <f>IF(CoDeSysIOs!D293="","",CoDeSysIOs!G293)</f>
        <v/>
      </c>
      <c r="J293" s="70" t="s">
        <v>527</v>
      </c>
    </row>
    <row r="294" ht="14.25" customHeight="1">
      <c r="A294" s="33" t="str">
        <f>IF(CoDeSysIOs!C294=""," ","CODESYSSPV3/3S/IecVarAccess")</f>
        <v> </v>
      </c>
      <c r="B294" s="33" t="str">
        <f>IF(CoDeSysIOs!C294=""," ","String")</f>
        <v> </v>
      </c>
      <c r="C294" s="33" t="str">
        <f>IF(CoDeSysIOs!C294=""," ",J294&amp;""&amp;E294)</f>
        <v> </v>
      </c>
      <c r="D294" s="33" t="str">
        <f>IF(CoDeSysIOs!B294="","",CoDeSysIOs!H294)</f>
        <v/>
      </c>
      <c r="E294" s="33" t="str">
        <f>IF(CoDeSysIOs!C294=""," ",CoDeSysIOs!B294)</f>
        <v> </v>
      </c>
      <c r="F294" s="33" t="str">
        <f>IF(CoDeSysIOs!D294="","",CoDeSysIOs!G294)</f>
        <v/>
      </c>
      <c r="J294" s="70" t="s">
        <v>527</v>
      </c>
    </row>
    <row r="295" ht="14.25" customHeight="1">
      <c r="A295" s="33" t="str">
        <f>IF(CoDeSysIOs!C295=""," ","CODESYSSPV3/3S/IecVarAccess")</f>
        <v> </v>
      </c>
      <c r="B295" s="33" t="str">
        <f>IF(CoDeSysIOs!C295=""," ","String")</f>
        <v> </v>
      </c>
      <c r="C295" s="33" t="str">
        <f>IF(CoDeSysIOs!C295=""," ",J295&amp;""&amp;E295)</f>
        <v> </v>
      </c>
      <c r="D295" s="33" t="str">
        <f>IF(CoDeSysIOs!B295="","",CoDeSysIOs!H295)</f>
        <v/>
      </c>
      <c r="E295" s="33" t="str">
        <f>IF(CoDeSysIOs!C295=""," ",CoDeSysIOs!B295)</f>
        <v> </v>
      </c>
      <c r="F295" s="33" t="str">
        <f>IF(CoDeSysIOs!D295="","",CoDeSysIOs!G295)</f>
        <v/>
      </c>
      <c r="J295" s="70" t="s">
        <v>527</v>
      </c>
    </row>
    <row r="296" ht="14.25" customHeight="1">
      <c r="A296" s="33" t="str">
        <f>IF(CoDeSysIOs!C296=""," ","CODESYSSPV3/3S/IecVarAccess")</f>
        <v> </v>
      </c>
      <c r="B296" s="33" t="str">
        <f>IF(CoDeSysIOs!C296=""," ","String")</f>
        <v> </v>
      </c>
      <c r="C296" s="33" t="str">
        <f>IF(CoDeSysIOs!C296=""," ",J296&amp;""&amp;E296)</f>
        <v> </v>
      </c>
      <c r="D296" s="33" t="str">
        <f>IF(CoDeSysIOs!B296="","",CoDeSysIOs!H296)</f>
        <v/>
      </c>
      <c r="E296" s="33" t="str">
        <f>IF(CoDeSysIOs!C296=""," ",CoDeSysIOs!B296)</f>
        <v> </v>
      </c>
      <c r="F296" s="33" t="str">
        <f>IF(CoDeSysIOs!D296="","",CoDeSysIOs!G296)</f>
        <v/>
      </c>
      <c r="J296" s="70" t="s">
        <v>527</v>
      </c>
    </row>
    <row r="297" ht="14.25" customHeight="1">
      <c r="A297" s="33" t="str">
        <f>IF(CoDeSysIOs!C297=""," ","CODESYSSPV3/3S/IecVarAccess")</f>
        <v> </v>
      </c>
      <c r="B297" s="33" t="str">
        <f>IF(CoDeSysIOs!C297=""," ","String")</f>
        <v> </v>
      </c>
      <c r="C297" s="33" t="str">
        <f>IF(CoDeSysIOs!C297=""," ",J297&amp;""&amp;E297)</f>
        <v> </v>
      </c>
      <c r="D297" s="33" t="str">
        <f>IF(CoDeSysIOs!B297="","",CoDeSysIOs!H297)</f>
        <v/>
      </c>
      <c r="E297" s="33" t="str">
        <f>IF(CoDeSysIOs!C297=""," ",CoDeSysIOs!B297)</f>
        <v> </v>
      </c>
      <c r="F297" s="33" t="str">
        <f>IF(CoDeSysIOs!D297="","",CoDeSysIOs!G297)</f>
        <v/>
      </c>
      <c r="J297" s="70" t="s">
        <v>527</v>
      </c>
    </row>
    <row r="298" ht="14.25" customHeight="1">
      <c r="A298" s="33" t="str">
        <f>IF(CoDeSysIOs!C298=""," ","CODESYSSPV3/3S/IecVarAccess")</f>
        <v> </v>
      </c>
      <c r="B298" s="33" t="str">
        <f>IF(CoDeSysIOs!C298=""," ","String")</f>
        <v> </v>
      </c>
      <c r="C298" s="33" t="str">
        <f>IF(CoDeSysIOs!C298=""," ",J298&amp;""&amp;E298)</f>
        <v> </v>
      </c>
      <c r="D298" s="33" t="str">
        <f>IF(CoDeSysIOs!B298="","",CoDeSysIOs!H298)</f>
        <v/>
      </c>
      <c r="E298" s="33" t="str">
        <f>IF(CoDeSysIOs!C298=""," ",CoDeSysIOs!B298)</f>
        <v> </v>
      </c>
      <c r="F298" s="33" t="str">
        <f>IF(CoDeSysIOs!D298="","",CoDeSysIOs!G298)</f>
        <v/>
      </c>
      <c r="J298" s="70" t="s">
        <v>527</v>
      </c>
    </row>
    <row r="299" ht="14.25" customHeight="1">
      <c r="A299" s="33" t="str">
        <f>IF(CoDeSysIOs!C299=""," ","CODESYSSPV3/3S/IecVarAccess")</f>
        <v> </v>
      </c>
      <c r="B299" s="33" t="str">
        <f>IF(CoDeSysIOs!C299=""," ","String")</f>
        <v> </v>
      </c>
      <c r="C299" s="33" t="str">
        <f>IF(CoDeSysIOs!C299=""," ",J299&amp;""&amp;E299)</f>
        <v> </v>
      </c>
      <c r="D299" s="33" t="str">
        <f>IF(CoDeSysIOs!B299="","",CoDeSysIOs!H299)</f>
        <v/>
      </c>
      <c r="E299" s="33" t="str">
        <f>IF(CoDeSysIOs!C299=""," ",CoDeSysIOs!B299)</f>
        <v> </v>
      </c>
      <c r="F299" s="33" t="str">
        <f>IF(CoDeSysIOs!D299="","",CoDeSysIOs!G299)</f>
        <v/>
      </c>
      <c r="J299" s="70" t="s">
        <v>527</v>
      </c>
    </row>
    <row r="300" ht="14.25" customHeight="1">
      <c r="A300" s="33" t="str">
        <f>IF(CoDeSysIOs!C300=""," ","CODESYSSPV3/3S/IecVarAccess")</f>
        <v> </v>
      </c>
      <c r="B300" s="33" t="str">
        <f>IF(CoDeSysIOs!C300=""," ","String")</f>
        <v> </v>
      </c>
      <c r="C300" s="33" t="str">
        <f>IF(CoDeSysIOs!C300=""," ",J300&amp;""&amp;E300)</f>
        <v> </v>
      </c>
      <c r="D300" s="33" t="str">
        <f>IF(CoDeSysIOs!B300="","",CoDeSysIOs!H300)</f>
        <v/>
      </c>
      <c r="E300" s="33" t="str">
        <f>IF(CoDeSysIOs!C300=""," ",CoDeSysIOs!B300)</f>
        <v> </v>
      </c>
      <c r="F300" s="33" t="str">
        <f>IF(CoDeSysIOs!D300="","",CoDeSysIOs!G300)</f>
        <v/>
      </c>
      <c r="J300" s="70" t="s">
        <v>527</v>
      </c>
    </row>
    <row r="301" ht="14.25" customHeight="1">
      <c r="J301" s="70"/>
    </row>
    <row r="302" ht="14.25" customHeight="1">
      <c r="J302" s="70"/>
    </row>
    <row r="303" ht="14.25" customHeight="1">
      <c r="J303" s="70"/>
    </row>
    <row r="304" ht="14.25" customHeight="1">
      <c r="J304" s="70"/>
    </row>
    <row r="305" ht="14.25" customHeight="1">
      <c r="J305" s="70"/>
    </row>
    <row r="306" ht="14.25" customHeight="1">
      <c r="J306" s="70"/>
    </row>
    <row r="307" ht="14.25" customHeight="1">
      <c r="J307" s="70"/>
    </row>
    <row r="308" ht="14.25" customHeight="1">
      <c r="J308" s="70"/>
    </row>
    <row r="309" ht="14.25" customHeight="1">
      <c r="J309" s="70"/>
    </row>
    <row r="310" ht="14.25" customHeight="1">
      <c r="J310" s="70"/>
    </row>
    <row r="311" ht="14.25" customHeight="1">
      <c r="J311" s="70"/>
    </row>
    <row r="312" ht="14.25" customHeight="1">
      <c r="J312" s="70"/>
    </row>
    <row r="313" ht="14.25" customHeight="1">
      <c r="J313" s="70"/>
    </row>
    <row r="314" ht="14.25" customHeight="1">
      <c r="J314" s="70"/>
    </row>
    <row r="315" ht="14.25" customHeight="1">
      <c r="J315" s="70"/>
    </row>
    <row r="316" ht="14.25" customHeight="1">
      <c r="J316" s="70"/>
    </row>
    <row r="317" ht="14.25" customHeight="1">
      <c r="J317" s="70"/>
    </row>
    <row r="318" ht="14.25" customHeight="1">
      <c r="J318" s="70"/>
    </row>
    <row r="319" ht="14.25" customHeight="1">
      <c r="J319" s="70"/>
    </row>
    <row r="320" ht="14.25" customHeight="1">
      <c r="J320" s="70"/>
    </row>
    <row r="321" ht="14.25" customHeight="1">
      <c r="J321" s="70"/>
    </row>
    <row r="322" ht="14.25" customHeight="1">
      <c r="J322" s="70"/>
    </row>
    <row r="323" ht="14.25" customHeight="1">
      <c r="J323" s="70"/>
    </row>
    <row r="324" ht="14.25" customHeight="1">
      <c r="J324" s="70"/>
    </row>
    <row r="325" ht="14.25" customHeight="1">
      <c r="J325" s="70"/>
    </row>
    <row r="326" ht="14.25" customHeight="1">
      <c r="J326" s="70"/>
    </row>
    <row r="327" ht="14.25" customHeight="1">
      <c r="J327" s="70"/>
    </row>
    <row r="328" ht="14.25" customHeight="1">
      <c r="J328" s="70"/>
    </row>
    <row r="329" ht="14.25" customHeight="1">
      <c r="J329" s="70"/>
    </row>
    <row r="330" ht="14.25" customHeight="1">
      <c r="J330" s="70"/>
    </row>
    <row r="331" ht="14.25" customHeight="1">
      <c r="J331" s="70"/>
    </row>
    <row r="332" ht="14.25" customHeight="1">
      <c r="J332" s="70"/>
    </row>
    <row r="333" ht="14.25" customHeight="1">
      <c r="J333" s="70"/>
    </row>
    <row r="334" ht="14.25" customHeight="1">
      <c r="J334" s="70"/>
    </row>
    <row r="335" ht="14.25" customHeight="1">
      <c r="J335" s="70"/>
    </row>
    <row r="336" ht="14.25" customHeight="1">
      <c r="J336" s="70"/>
    </row>
    <row r="337" ht="14.25" customHeight="1">
      <c r="J337" s="70"/>
    </row>
    <row r="338" ht="14.25" customHeight="1">
      <c r="J338" s="70"/>
    </row>
    <row r="339" ht="14.25" customHeight="1">
      <c r="J339" s="70"/>
    </row>
    <row r="340" ht="14.25" customHeight="1">
      <c r="J340" s="70"/>
    </row>
    <row r="341" ht="14.25" customHeight="1">
      <c r="J341" s="70"/>
    </row>
    <row r="342" ht="14.25" customHeight="1">
      <c r="J342" s="70"/>
    </row>
    <row r="343" ht="14.25" customHeight="1">
      <c r="J343" s="70"/>
    </row>
    <row r="344" ht="14.25" customHeight="1">
      <c r="J344" s="70"/>
    </row>
    <row r="345" ht="14.25" customHeight="1">
      <c r="J345" s="70"/>
    </row>
    <row r="346" ht="14.25" customHeight="1">
      <c r="J346" s="70"/>
    </row>
    <row r="347" ht="14.25" customHeight="1">
      <c r="J347" s="70"/>
    </row>
    <row r="348" ht="14.25" customHeight="1">
      <c r="J348" s="70"/>
    </row>
    <row r="349" ht="14.25" customHeight="1">
      <c r="J349" s="70"/>
    </row>
    <row r="350" ht="14.25" customHeight="1">
      <c r="J350" s="70"/>
    </row>
    <row r="351" ht="14.25" customHeight="1">
      <c r="J351" s="70"/>
    </row>
    <row r="352" ht="14.25" customHeight="1">
      <c r="J352" s="70"/>
    </row>
    <row r="353" ht="14.25" customHeight="1">
      <c r="J353" s="70"/>
    </row>
    <row r="354" ht="14.25" customHeight="1">
      <c r="J354" s="70"/>
    </row>
    <row r="355" ht="14.25" customHeight="1">
      <c r="J355" s="70"/>
    </row>
    <row r="356" ht="14.25" customHeight="1">
      <c r="J356" s="70"/>
    </row>
    <row r="357" ht="14.25" customHeight="1">
      <c r="J357" s="70"/>
    </row>
    <row r="358" ht="14.25" customHeight="1">
      <c r="J358" s="70"/>
    </row>
    <row r="359" ht="14.25" customHeight="1">
      <c r="J359" s="70"/>
    </row>
    <row r="360" ht="14.25" customHeight="1">
      <c r="J360" s="70"/>
    </row>
    <row r="361" ht="14.25" customHeight="1">
      <c r="J361" s="70"/>
    </row>
    <row r="362" ht="14.25" customHeight="1">
      <c r="J362" s="70"/>
    </row>
    <row r="363" ht="14.25" customHeight="1">
      <c r="J363" s="70"/>
    </row>
    <row r="364" ht="14.25" customHeight="1">
      <c r="J364" s="70"/>
    </row>
    <row r="365" ht="14.25" customHeight="1">
      <c r="J365" s="70"/>
    </row>
    <row r="366" ht="14.25" customHeight="1">
      <c r="J366" s="70"/>
    </row>
    <row r="367" ht="14.25" customHeight="1">
      <c r="J367" s="70"/>
    </row>
    <row r="368" ht="14.25" customHeight="1">
      <c r="J368" s="70"/>
    </row>
    <row r="369" ht="14.25" customHeight="1">
      <c r="J369" s="70"/>
    </row>
    <row r="370" ht="14.25" customHeight="1">
      <c r="J370" s="70"/>
    </row>
    <row r="371" ht="14.25" customHeight="1">
      <c r="J371" s="70"/>
    </row>
    <row r="372" ht="14.25" customHeight="1">
      <c r="J372" s="70"/>
    </row>
    <row r="373" ht="14.25" customHeight="1">
      <c r="J373" s="70"/>
    </row>
    <row r="374" ht="14.25" customHeight="1">
      <c r="J374" s="70"/>
    </row>
    <row r="375" ht="14.25" customHeight="1">
      <c r="J375" s="70"/>
    </row>
    <row r="376" ht="14.25" customHeight="1">
      <c r="J376" s="70"/>
    </row>
    <row r="377" ht="14.25" customHeight="1">
      <c r="J377" s="70"/>
    </row>
    <row r="378" ht="14.25" customHeight="1">
      <c r="J378" s="70"/>
    </row>
    <row r="379" ht="14.25" customHeight="1">
      <c r="J379" s="70"/>
    </row>
    <row r="380" ht="14.25" customHeight="1">
      <c r="J380" s="70"/>
    </row>
    <row r="381" ht="14.25" customHeight="1">
      <c r="J381" s="70"/>
    </row>
    <row r="382" ht="14.25" customHeight="1">
      <c r="J382" s="70"/>
    </row>
    <row r="383" ht="14.25" customHeight="1">
      <c r="J383" s="70"/>
    </row>
    <row r="384" ht="14.25" customHeight="1">
      <c r="J384" s="70"/>
    </row>
    <row r="385" ht="14.25" customHeight="1">
      <c r="J385" s="70"/>
    </row>
    <row r="386" ht="14.25" customHeight="1">
      <c r="J386" s="70"/>
    </row>
    <row r="387" ht="14.25" customHeight="1">
      <c r="J387" s="70"/>
    </row>
    <row r="388" ht="14.25" customHeight="1">
      <c r="J388" s="70"/>
    </row>
    <row r="389" ht="14.25" customHeight="1">
      <c r="J389" s="70"/>
    </row>
    <row r="390" ht="14.25" customHeight="1">
      <c r="J390" s="70"/>
    </row>
    <row r="391" ht="14.25" customHeight="1">
      <c r="J391" s="70"/>
    </row>
    <row r="392" ht="14.25" customHeight="1">
      <c r="J392" s="70"/>
    </row>
    <row r="393" ht="14.25" customHeight="1">
      <c r="J393" s="70"/>
    </row>
    <row r="394" ht="14.25" customHeight="1">
      <c r="J394" s="70"/>
    </row>
    <row r="395" ht="14.25" customHeight="1">
      <c r="J395" s="70"/>
    </row>
    <row r="396" ht="14.25" customHeight="1">
      <c r="J396" s="70"/>
    </row>
    <row r="397" ht="14.25" customHeight="1">
      <c r="J397" s="70"/>
    </row>
    <row r="398" ht="14.25" customHeight="1">
      <c r="J398" s="70"/>
    </row>
    <row r="399" ht="14.25" customHeight="1">
      <c r="J399" s="70"/>
    </row>
    <row r="400" ht="14.25" customHeight="1">
      <c r="J400" s="70"/>
    </row>
    <row r="401" ht="14.25" customHeight="1">
      <c r="J401" s="70"/>
    </row>
    <row r="402" ht="14.25" customHeight="1">
      <c r="J402" s="70"/>
    </row>
    <row r="403" ht="14.25" customHeight="1">
      <c r="J403" s="70"/>
    </row>
    <row r="404" ht="14.25" customHeight="1">
      <c r="J404" s="70"/>
    </row>
    <row r="405" ht="14.25" customHeight="1">
      <c r="J405" s="70"/>
    </row>
    <row r="406" ht="14.25" customHeight="1">
      <c r="J406" s="70"/>
    </row>
    <row r="407" ht="14.25" customHeight="1">
      <c r="J407" s="70"/>
    </row>
    <row r="408" ht="14.25" customHeight="1">
      <c r="J408" s="70"/>
    </row>
    <row r="409" ht="14.25" customHeight="1">
      <c r="J409" s="70"/>
    </row>
    <row r="410" ht="14.25" customHeight="1">
      <c r="J410" s="70"/>
    </row>
    <row r="411" ht="14.25" customHeight="1">
      <c r="J411" s="70"/>
    </row>
    <row r="412" ht="14.25" customHeight="1">
      <c r="J412" s="70"/>
    </row>
    <row r="413" ht="14.25" customHeight="1">
      <c r="J413" s="70"/>
    </row>
    <row r="414" ht="14.25" customHeight="1">
      <c r="J414" s="70"/>
    </row>
    <row r="415" ht="14.25" customHeight="1">
      <c r="J415" s="70"/>
    </row>
    <row r="416" ht="14.25" customHeight="1">
      <c r="J416" s="70"/>
    </row>
    <row r="417" ht="14.25" customHeight="1">
      <c r="J417" s="70"/>
    </row>
    <row r="418" ht="14.25" customHeight="1">
      <c r="J418" s="70"/>
    </row>
    <row r="419" ht="14.25" customHeight="1">
      <c r="J419" s="70"/>
    </row>
    <row r="420" ht="14.25" customHeight="1">
      <c r="J420" s="70"/>
    </row>
    <row r="421" ht="14.25" customHeight="1">
      <c r="J421" s="70"/>
    </row>
    <row r="422" ht="14.25" customHeight="1">
      <c r="J422" s="70"/>
    </row>
    <row r="423" ht="14.25" customHeight="1">
      <c r="J423" s="70"/>
    </row>
    <row r="424" ht="14.25" customHeight="1">
      <c r="J424" s="70"/>
    </row>
    <row r="425" ht="14.25" customHeight="1">
      <c r="J425" s="70"/>
    </row>
    <row r="426" ht="14.25" customHeight="1">
      <c r="J426" s="70"/>
    </row>
    <row r="427" ht="14.25" customHeight="1">
      <c r="J427" s="70"/>
    </row>
    <row r="428" ht="14.25" customHeight="1">
      <c r="J428" s="70"/>
    </row>
    <row r="429" ht="14.25" customHeight="1">
      <c r="J429" s="70"/>
    </row>
    <row r="430" ht="14.25" customHeight="1">
      <c r="J430" s="70"/>
    </row>
    <row r="431" ht="14.25" customHeight="1">
      <c r="J431" s="70"/>
    </row>
    <row r="432" ht="14.25" customHeight="1">
      <c r="J432" s="70"/>
    </row>
    <row r="433" ht="14.25" customHeight="1">
      <c r="J433" s="70"/>
    </row>
    <row r="434" ht="14.25" customHeight="1">
      <c r="J434" s="70"/>
    </row>
    <row r="435" ht="14.25" customHeight="1">
      <c r="J435" s="70"/>
    </row>
    <row r="436" ht="14.25" customHeight="1">
      <c r="J436" s="70"/>
    </row>
    <row r="437" ht="14.25" customHeight="1">
      <c r="J437" s="70"/>
    </row>
    <row r="438" ht="14.25" customHeight="1">
      <c r="J438" s="70"/>
    </row>
    <row r="439" ht="14.25" customHeight="1">
      <c r="J439" s="70"/>
    </row>
    <row r="440" ht="14.25" customHeight="1">
      <c r="J440" s="70"/>
    </row>
    <row r="441" ht="14.25" customHeight="1">
      <c r="J441" s="70"/>
    </row>
    <row r="442" ht="14.25" customHeight="1">
      <c r="J442" s="70"/>
    </row>
    <row r="443" ht="14.25" customHeight="1">
      <c r="J443" s="70"/>
    </row>
    <row r="444" ht="14.25" customHeight="1">
      <c r="J444" s="70"/>
    </row>
    <row r="445" ht="14.25" customHeight="1">
      <c r="J445" s="70"/>
    </row>
    <row r="446" ht="14.25" customHeight="1">
      <c r="J446" s="70"/>
    </row>
    <row r="447" ht="14.25" customHeight="1">
      <c r="J447" s="70"/>
    </row>
    <row r="448" ht="14.25" customHeight="1">
      <c r="J448" s="70"/>
    </row>
    <row r="449" ht="14.25" customHeight="1">
      <c r="J449" s="70"/>
    </row>
    <row r="450" ht="14.25" customHeight="1">
      <c r="J450" s="70"/>
    </row>
    <row r="451" ht="14.25" customHeight="1">
      <c r="J451" s="70"/>
    </row>
    <row r="452" ht="14.25" customHeight="1">
      <c r="J452" s="70"/>
    </row>
    <row r="453" ht="14.25" customHeight="1">
      <c r="J453" s="70"/>
    </row>
    <row r="454" ht="14.25" customHeight="1">
      <c r="J454" s="70"/>
    </row>
    <row r="455" ht="14.25" customHeight="1">
      <c r="J455" s="70"/>
    </row>
    <row r="456" ht="14.25" customHeight="1">
      <c r="J456" s="70"/>
    </row>
    <row r="457" ht="14.25" customHeight="1">
      <c r="J457" s="70"/>
    </row>
    <row r="458" ht="14.25" customHeight="1">
      <c r="J458" s="70"/>
    </row>
    <row r="459" ht="14.25" customHeight="1">
      <c r="J459" s="70"/>
    </row>
    <row r="460" ht="14.25" customHeight="1">
      <c r="J460" s="70"/>
    </row>
    <row r="461" ht="14.25" customHeight="1">
      <c r="J461" s="70"/>
    </row>
    <row r="462" ht="14.25" customHeight="1">
      <c r="J462" s="70"/>
    </row>
    <row r="463" ht="14.25" customHeight="1">
      <c r="J463" s="70"/>
    </row>
    <row r="464" ht="14.25" customHeight="1">
      <c r="J464" s="70"/>
    </row>
    <row r="465" ht="14.25" customHeight="1">
      <c r="J465" s="70"/>
    </row>
    <row r="466" ht="14.25" customHeight="1">
      <c r="J466" s="70"/>
    </row>
    <row r="467" ht="14.25" customHeight="1">
      <c r="J467" s="70"/>
    </row>
    <row r="468" ht="14.25" customHeight="1">
      <c r="J468" s="70"/>
    </row>
    <row r="469" ht="14.25" customHeight="1">
      <c r="J469" s="70"/>
    </row>
    <row r="470" ht="14.25" customHeight="1">
      <c r="J470" s="70"/>
    </row>
    <row r="471" ht="14.25" customHeight="1">
      <c r="J471" s="70"/>
    </row>
    <row r="472" ht="14.25" customHeight="1">
      <c r="J472" s="70"/>
    </row>
    <row r="473" ht="14.25" customHeight="1">
      <c r="J473" s="70"/>
    </row>
    <row r="474" ht="14.25" customHeight="1">
      <c r="J474" s="70"/>
    </row>
    <row r="475" ht="14.25" customHeight="1">
      <c r="J475" s="70"/>
    </row>
    <row r="476" ht="14.25" customHeight="1">
      <c r="J476" s="70"/>
    </row>
    <row r="477" ht="14.25" customHeight="1">
      <c r="J477" s="70"/>
    </row>
    <row r="478" ht="14.25" customHeight="1">
      <c r="J478" s="70"/>
    </row>
    <row r="479" ht="14.25" customHeight="1">
      <c r="J479" s="70"/>
    </row>
    <row r="480" ht="14.25" customHeight="1">
      <c r="J480" s="70"/>
    </row>
    <row r="481" ht="14.25" customHeight="1">
      <c r="J481" s="70"/>
    </row>
    <row r="482" ht="14.25" customHeight="1">
      <c r="J482" s="70"/>
    </row>
    <row r="483" ht="14.25" customHeight="1">
      <c r="J483" s="70"/>
    </row>
    <row r="484" ht="14.25" customHeight="1">
      <c r="J484" s="70"/>
    </row>
    <row r="485" ht="14.25" customHeight="1">
      <c r="J485" s="70"/>
    </row>
    <row r="486" ht="14.25" customHeight="1">
      <c r="J486" s="70"/>
    </row>
    <row r="487" ht="14.25" customHeight="1">
      <c r="J487" s="70"/>
    </row>
    <row r="488" ht="14.25" customHeight="1">
      <c r="J488" s="70"/>
    </row>
    <row r="489" ht="14.25" customHeight="1">
      <c r="J489" s="70"/>
    </row>
    <row r="490" ht="14.25" customHeight="1">
      <c r="J490" s="70"/>
    </row>
    <row r="491" ht="14.25" customHeight="1">
      <c r="J491" s="70"/>
    </row>
    <row r="492" ht="14.25" customHeight="1">
      <c r="J492" s="70"/>
    </row>
    <row r="493" ht="14.25" customHeight="1">
      <c r="J493" s="70"/>
    </row>
    <row r="494" ht="14.25" customHeight="1">
      <c r="J494" s="70"/>
    </row>
    <row r="495" ht="14.25" customHeight="1">
      <c r="J495" s="70"/>
    </row>
    <row r="496" ht="14.25" customHeight="1">
      <c r="J496" s="70"/>
    </row>
    <row r="497" ht="14.25" customHeight="1">
      <c r="J497" s="70"/>
    </row>
    <row r="498" ht="14.25" customHeight="1">
      <c r="J498" s="70"/>
    </row>
    <row r="499" ht="14.25" customHeight="1">
      <c r="J499" s="70"/>
    </row>
    <row r="500" ht="14.25" customHeight="1">
      <c r="J500" s="70"/>
    </row>
    <row r="501" ht="14.25" customHeight="1">
      <c r="J501" s="70"/>
    </row>
    <row r="502" ht="14.25" customHeight="1">
      <c r="J502" s="70"/>
    </row>
    <row r="503" ht="14.25" customHeight="1">
      <c r="J503" s="70"/>
    </row>
    <row r="504" ht="14.25" customHeight="1">
      <c r="J504" s="70"/>
    </row>
    <row r="505" ht="14.25" customHeight="1">
      <c r="J505" s="70"/>
    </row>
    <row r="506" ht="14.25" customHeight="1">
      <c r="J506" s="70"/>
    </row>
    <row r="507" ht="14.25" customHeight="1">
      <c r="J507" s="70"/>
    </row>
    <row r="508" ht="14.25" customHeight="1">
      <c r="J508" s="70"/>
    </row>
    <row r="509" ht="14.25" customHeight="1">
      <c r="J509" s="70"/>
    </row>
    <row r="510" ht="14.25" customHeight="1">
      <c r="J510" s="70"/>
    </row>
    <row r="511" ht="14.25" customHeight="1">
      <c r="J511" s="70"/>
    </row>
    <row r="512" ht="14.25" customHeight="1">
      <c r="J512" s="70"/>
    </row>
    <row r="513" ht="14.25" customHeight="1">
      <c r="J513" s="70"/>
    </row>
    <row r="514" ht="14.25" customHeight="1">
      <c r="J514" s="70"/>
    </row>
    <row r="515" ht="14.25" customHeight="1">
      <c r="J515" s="70"/>
    </row>
    <row r="516" ht="14.25" customHeight="1">
      <c r="J516" s="70"/>
    </row>
    <row r="517" ht="14.25" customHeight="1">
      <c r="J517" s="70"/>
    </row>
    <row r="518" ht="14.25" customHeight="1">
      <c r="J518" s="70"/>
    </row>
    <row r="519" ht="14.25" customHeight="1">
      <c r="J519" s="70"/>
    </row>
    <row r="520" ht="14.25" customHeight="1">
      <c r="J520" s="70"/>
    </row>
    <row r="521" ht="14.25" customHeight="1">
      <c r="J521" s="70"/>
    </row>
    <row r="522" ht="14.25" customHeight="1">
      <c r="J522" s="70"/>
    </row>
    <row r="523" ht="14.25" customHeight="1">
      <c r="J523" s="70"/>
    </row>
    <row r="524" ht="14.25" customHeight="1">
      <c r="J524" s="70"/>
    </row>
    <row r="525" ht="14.25" customHeight="1">
      <c r="J525" s="70"/>
    </row>
    <row r="526" ht="14.25" customHeight="1">
      <c r="J526" s="70"/>
    </row>
    <row r="527" ht="14.25" customHeight="1">
      <c r="J527" s="70"/>
    </row>
    <row r="528" ht="14.25" customHeight="1">
      <c r="J528" s="70"/>
    </row>
    <row r="529" ht="14.25" customHeight="1">
      <c r="J529" s="70"/>
    </row>
    <row r="530" ht="14.25" customHeight="1">
      <c r="J530" s="70"/>
    </row>
    <row r="531" ht="14.25" customHeight="1">
      <c r="J531" s="70"/>
    </row>
    <row r="532" ht="14.25" customHeight="1">
      <c r="J532" s="70"/>
    </row>
    <row r="533" ht="14.25" customHeight="1">
      <c r="J533" s="70"/>
    </row>
    <row r="534" ht="14.25" customHeight="1">
      <c r="J534" s="70"/>
    </row>
    <row r="535" ht="14.25" customHeight="1">
      <c r="J535" s="70"/>
    </row>
    <row r="536" ht="14.25" customHeight="1">
      <c r="J536" s="70"/>
    </row>
    <row r="537" ht="14.25" customHeight="1">
      <c r="J537" s="70"/>
    </row>
    <row r="538" ht="14.25" customHeight="1">
      <c r="J538" s="70"/>
    </row>
    <row r="539" ht="14.25" customHeight="1">
      <c r="J539" s="70"/>
    </row>
    <row r="540" ht="14.25" customHeight="1">
      <c r="J540" s="70"/>
    </row>
    <row r="541" ht="14.25" customHeight="1">
      <c r="J541" s="70"/>
    </row>
    <row r="542" ht="14.25" customHeight="1">
      <c r="J542" s="70"/>
    </row>
    <row r="543" ht="14.25" customHeight="1">
      <c r="J543" s="70"/>
    </row>
    <row r="544" ht="14.25" customHeight="1">
      <c r="J544" s="70"/>
    </row>
    <row r="545" ht="14.25" customHeight="1">
      <c r="J545" s="70"/>
    </row>
    <row r="546" ht="14.25" customHeight="1">
      <c r="J546" s="70"/>
    </row>
    <row r="547" ht="14.25" customHeight="1">
      <c r="J547" s="70"/>
    </row>
    <row r="548" ht="14.25" customHeight="1">
      <c r="J548" s="70"/>
    </row>
    <row r="549" ht="14.25" customHeight="1">
      <c r="J549" s="70"/>
    </row>
    <row r="550" ht="14.25" customHeight="1">
      <c r="J550" s="70"/>
    </row>
    <row r="551" ht="14.25" customHeight="1">
      <c r="J551" s="70"/>
    </row>
    <row r="552" ht="14.25" customHeight="1">
      <c r="J552" s="70"/>
    </row>
    <row r="553" ht="14.25" customHeight="1">
      <c r="J553" s="70"/>
    </row>
    <row r="554" ht="14.25" customHeight="1">
      <c r="J554" s="70"/>
    </row>
    <row r="555" ht="14.25" customHeight="1">
      <c r="J555" s="70"/>
    </row>
    <row r="556" ht="14.25" customHeight="1">
      <c r="J556" s="70"/>
    </row>
    <row r="557" ht="14.25" customHeight="1">
      <c r="J557" s="70"/>
    </row>
    <row r="558" ht="14.25" customHeight="1">
      <c r="J558" s="70"/>
    </row>
    <row r="559" ht="14.25" customHeight="1">
      <c r="J559" s="70"/>
    </row>
    <row r="560" ht="14.25" customHeight="1">
      <c r="J560" s="70"/>
    </row>
    <row r="561" ht="14.25" customHeight="1">
      <c r="J561" s="70"/>
    </row>
    <row r="562" ht="14.25" customHeight="1">
      <c r="J562" s="70"/>
    </row>
    <row r="563" ht="14.25" customHeight="1">
      <c r="J563" s="70"/>
    </row>
    <row r="564" ht="14.25" customHeight="1">
      <c r="J564" s="70"/>
    </row>
    <row r="565" ht="14.25" customHeight="1">
      <c r="J565" s="70"/>
    </row>
    <row r="566" ht="14.25" customHeight="1">
      <c r="J566" s="70"/>
    </row>
    <row r="567" ht="14.25" customHeight="1">
      <c r="J567" s="70"/>
    </row>
    <row r="568" ht="14.25" customHeight="1">
      <c r="J568" s="70"/>
    </row>
    <row r="569" ht="14.25" customHeight="1">
      <c r="J569" s="70"/>
    </row>
    <row r="570" ht="14.25" customHeight="1">
      <c r="J570" s="70"/>
    </row>
    <row r="571" ht="14.25" customHeight="1">
      <c r="J571" s="70"/>
    </row>
    <row r="572" ht="14.25" customHeight="1">
      <c r="J572" s="70"/>
    </row>
    <row r="573" ht="14.25" customHeight="1">
      <c r="J573" s="70"/>
    </row>
    <row r="574" ht="14.25" customHeight="1">
      <c r="J574" s="70"/>
    </row>
    <row r="575" ht="14.25" customHeight="1">
      <c r="J575" s="70"/>
    </row>
    <row r="576" ht="14.25" customHeight="1">
      <c r="J576" s="70"/>
    </row>
    <row r="577" ht="14.25" customHeight="1">
      <c r="J577" s="70"/>
    </row>
    <row r="578" ht="14.25" customHeight="1">
      <c r="J578" s="70"/>
    </row>
    <row r="579" ht="14.25" customHeight="1">
      <c r="J579" s="70"/>
    </row>
    <row r="580" ht="14.25" customHeight="1">
      <c r="J580" s="70"/>
    </row>
    <row r="581" ht="14.25" customHeight="1">
      <c r="J581" s="70"/>
    </row>
    <row r="582" ht="14.25" customHeight="1">
      <c r="J582" s="70"/>
    </row>
    <row r="583" ht="14.25" customHeight="1">
      <c r="J583" s="70"/>
    </row>
    <row r="584" ht="14.25" customHeight="1">
      <c r="J584" s="70"/>
    </row>
    <row r="585" ht="14.25" customHeight="1">
      <c r="J585" s="70"/>
    </row>
    <row r="586" ht="14.25" customHeight="1">
      <c r="J586" s="70"/>
    </row>
    <row r="587" ht="14.25" customHeight="1">
      <c r="J587" s="70"/>
    </row>
    <row r="588" ht="14.25" customHeight="1">
      <c r="J588" s="70"/>
    </row>
    <row r="589" ht="14.25" customHeight="1">
      <c r="J589" s="70"/>
    </row>
    <row r="590" ht="14.25" customHeight="1">
      <c r="J590" s="70"/>
    </row>
    <row r="591" ht="14.25" customHeight="1">
      <c r="J591" s="70"/>
    </row>
    <row r="592" ht="14.25" customHeight="1">
      <c r="J592" s="70"/>
    </row>
    <row r="593" ht="14.25" customHeight="1">
      <c r="J593" s="70"/>
    </row>
    <row r="594" ht="14.25" customHeight="1">
      <c r="J594" s="70"/>
    </row>
    <row r="595" ht="14.25" customHeight="1">
      <c r="J595" s="70"/>
    </row>
    <row r="596" ht="14.25" customHeight="1">
      <c r="J596" s="70"/>
    </row>
    <row r="597" ht="14.25" customHeight="1">
      <c r="J597" s="70"/>
    </row>
    <row r="598" ht="14.25" customHeight="1">
      <c r="J598" s="70"/>
    </row>
    <row r="599" ht="14.25" customHeight="1">
      <c r="J599" s="70"/>
    </row>
    <row r="600" ht="14.25" customHeight="1">
      <c r="J600" s="70"/>
    </row>
    <row r="601" ht="14.25" customHeight="1">
      <c r="J601" s="70"/>
    </row>
    <row r="602" ht="14.25" customHeight="1">
      <c r="J602" s="70"/>
    </row>
    <row r="603" ht="14.25" customHeight="1">
      <c r="J603" s="70"/>
    </row>
    <row r="604" ht="14.25" customHeight="1">
      <c r="J604" s="70"/>
    </row>
    <row r="605" ht="14.25" customHeight="1">
      <c r="J605" s="70"/>
    </row>
    <row r="606" ht="14.25" customHeight="1">
      <c r="J606" s="70"/>
    </row>
    <row r="607" ht="14.25" customHeight="1">
      <c r="J607" s="70"/>
    </row>
    <row r="608" ht="14.25" customHeight="1">
      <c r="J608" s="70"/>
    </row>
    <row r="609" ht="14.25" customHeight="1">
      <c r="J609" s="70"/>
    </row>
    <row r="610" ht="14.25" customHeight="1">
      <c r="J610" s="70"/>
    </row>
    <row r="611" ht="14.25" customHeight="1">
      <c r="J611" s="70"/>
    </row>
    <row r="612" ht="14.25" customHeight="1">
      <c r="J612" s="70"/>
    </row>
    <row r="613" ht="14.25" customHeight="1">
      <c r="J613" s="70"/>
    </row>
    <row r="614" ht="14.25" customHeight="1">
      <c r="J614" s="70"/>
    </row>
    <row r="615" ht="14.25" customHeight="1">
      <c r="J615" s="70"/>
    </row>
    <row r="616" ht="14.25" customHeight="1">
      <c r="J616" s="70"/>
    </row>
    <row r="617" ht="14.25" customHeight="1">
      <c r="J617" s="70"/>
    </row>
    <row r="618" ht="14.25" customHeight="1">
      <c r="J618" s="70"/>
    </row>
    <row r="619" ht="14.25" customHeight="1">
      <c r="J619" s="70"/>
    </row>
    <row r="620" ht="14.25" customHeight="1">
      <c r="J620" s="70"/>
    </row>
    <row r="621" ht="14.25" customHeight="1">
      <c r="J621" s="70"/>
    </row>
    <row r="622" ht="14.25" customHeight="1">
      <c r="J622" s="70"/>
    </row>
    <row r="623" ht="14.25" customHeight="1">
      <c r="J623" s="70"/>
    </row>
    <row r="624" ht="14.25" customHeight="1">
      <c r="J624" s="70"/>
    </row>
    <row r="625" ht="14.25" customHeight="1">
      <c r="J625" s="70"/>
    </row>
    <row r="626" ht="14.25" customHeight="1">
      <c r="J626" s="70"/>
    </row>
    <row r="627" ht="14.25" customHeight="1">
      <c r="J627" s="70"/>
    </row>
    <row r="628" ht="14.25" customHeight="1">
      <c r="J628" s="70"/>
    </row>
    <row r="629" ht="14.25" customHeight="1">
      <c r="J629" s="70"/>
    </row>
    <row r="630" ht="14.25" customHeight="1">
      <c r="J630" s="70"/>
    </row>
    <row r="631" ht="14.25" customHeight="1">
      <c r="J631" s="70"/>
    </row>
    <row r="632" ht="14.25" customHeight="1">
      <c r="J632" s="70"/>
    </row>
    <row r="633" ht="14.25" customHeight="1">
      <c r="J633" s="70"/>
    </row>
    <row r="634" ht="14.25" customHeight="1">
      <c r="J634" s="70"/>
    </row>
    <row r="635" ht="14.25" customHeight="1">
      <c r="J635" s="70"/>
    </row>
    <row r="636" ht="14.25" customHeight="1">
      <c r="J636" s="70"/>
    </row>
    <row r="637" ht="14.25" customHeight="1">
      <c r="J637" s="70"/>
    </row>
    <row r="638" ht="14.25" customHeight="1">
      <c r="J638" s="70"/>
    </row>
    <row r="639" ht="14.25" customHeight="1">
      <c r="J639" s="70"/>
    </row>
    <row r="640" ht="14.25" customHeight="1">
      <c r="J640" s="70"/>
    </row>
    <row r="641" ht="14.25" customHeight="1">
      <c r="J641" s="70"/>
    </row>
    <row r="642" ht="14.25" customHeight="1">
      <c r="J642" s="70"/>
    </row>
    <row r="643" ht="14.25" customHeight="1">
      <c r="J643" s="70"/>
    </row>
    <row r="644" ht="14.25" customHeight="1">
      <c r="J644" s="70"/>
    </row>
    <row r="645" ht="14.25" customHeight="1">
      <c r="J645" s="70"/>
    </row>
    <row r="646" ht="14.25" customHeight="1">
      <c r="J646" s="70"/>
    </row>
    <row r="647" ht="14.25" customHeight="1">
      <c r="J647" s="70"/>
    </row>
    <row r="648" ht="14.25" customHeight="1">
      <c r="J648" s="70"/>
    </row>
    <row r="649" ht="14.25" customHeight="1">
      <c r="J649" s="70"/>
    </row>
    <row r="650" ht="14.25" customHeight="1">
      <c r="J650" s="70"/>
    </row>
    <row r="651" ht="14.25" customHeight="1">
      <c r="J651" s="70"/>
    </row>
    <row r="652" ht="14.25" customHeight="1">
      <c r="J652" s="70"/>
    </row>
    <row r="653" ht="14.25" customHeight="1">
      <c r="J653" s="70"/>
    </row>
    <row r="654" ht="14.25" customHeight="1">
      <c r="J654" s="70"/>
    </row>
    <row r="655" ht="14.25" customHeight="1">
      <c r="J655" s="70"/>
    </row>
    <row r="656" ht="14.25" customHeight="1">
      <c r="J656" s="70"/>
    </row>
    <row r="657" ht="14.25" customHeight="1">
      <c r="J657" s="70"/>
    </row>
    <row r="658" ht="14.25" customHeight="1">
      <c r="J658" s="70"/>
    </row>
    <row r="659" ht="14.25" customHeight="1">
      <c r="J659" s="70"/>
    </row>
    <row r="660" ht="14.25" customHeight="1">
      <c r="J660" s="70"/>
    </row>
    <row r="661" ht="14.25" customHeight="1">
      <c r="J661" s="70"/>
    </row>
    <row r="662" ht="14.25" customHeight="1">
      <c r="J662" s="70"/>
    </row>
    <row r="663" ht="14.25" customHeight="1">
      <c r="J663" s="70"/>
    </row>
    <row r="664" ht="14.25" customHeight="1">
      <c r="J664" s="70"/>
    </row>
    <row r="665" ht="14.25" customHeight="1">
      <c r="J665" s="70"/>
    </row>
    <row r="666" ht="14.25" customHeight="1">
      <c r="J666" s="70"/>
    </row>
    <row r="667" ht="14.25" customHeight="1">
      <c r="J667" s="70"/>
    </row>
    <row r="668" ht="14.25" customHeight="1">
      <c r="J668" s="70"/>
    </row>
    <row r="669" ht="14.25" customHeight="1">
      <c r="J669" s="70"/>
    </row>
    <row r="670" ht="14.25" customHeight="1">
      <c r="J670" s="70"/>
    </row>
    <row r="671" ht="14.25" customHeight="1">
      <c r="J671" s="70"/>
    </row>
    <row r="672" ht="14.25" customHeight="1">
      <c r="J672" s="70"/>
    </row>
    <row r="673" ht="14.25" customHeight="1">
      <c r="J673" s="70"/>
    </row>
    <row r="674" ht="14.25" customHeight="1">
      <c r="J674" s="70"/>
    </row>
    <row r="675" ht="14.25" customHeight="1">
      <c r="J675" s="70"/>
    </row>
    <row r="676" ht="14.25" customHeight="1">
      <c r="J676" s="70"/>
    </row>
    <row r="677" ht="14.25" customHeight="1">
      <c r="J677" s="70"/>
    </row>
    <row r="678" ht="14.25" customHeight="1">
      <c r="J678" s="70"/>
    </row>
    <row r="679" ht="14.25" customHeight="1">
      <c r="J679" s="70"/>
    </row>
    <row r="680" ht="14.25" customHeight="1">
      <c r="J680" s="70"/>
    </row>
    <row r="681" ht="14.25" customHeight="1">
      <c r="J681" s="70"/>
    </row>
    <row r="682" ht="14.25" customHeight="1">
      <c r="J682" s="70"/>
    </row>
    <row r="683" ht="14.25" customHeight="1">
      <c r="J683" s="70"/>
    </row>
    <row r="684" ht="14.25" customHeight="1">
      <c r="J684" s="70"/>
    </row>
    <row r="685" ht="14.25" customHeight="1">
      <c r="J685" s="70"/>
    </row>
    <row r="686" ht="14.25" customHeight="1">
      <c r="J686" s="70"/>
    </row>
    <row r="687" ht="14.25" customHeight="1">
      <c r="J687" s="70"/>
    </row>
    <row r="688" ht="14.25" customHeight="1">
      <c r="J688" s="70"/>
    </row>
    <row r="689" ht="14.25" customHeight="1">
      <c r="J689" s="70"/>
    </row>
    <row r="690" ht="14.25" customHeight="1">
      <c r="J690" s="70"/>
    </row>
    <row r="691" ht="14.25" customHeight="1">
      <c r="J691" s="70"/>
    </row>
    <row r="692" ht="14.25" customHeight="1">
      <c r="J692" s="70"/>
    </row>
    <row r="693" ht="14.25" customHeight="1">
      <c r="J693" s="70"/>
    </row>
    <row r="694" ht="14.25" customHeight="1">
      <c r="J694" s="70"/>
    </row>
    <row r="695" ht="14.25" customHeight="1">
      <c r="J695" s="70"/>
    </row>
    <row r="696" ht="14.25" customHeight="1">
      <c r="J696" s="70"/>
    </row>
    <row r="697" ht="14.25" customHeight="1">
      <c r="J697" s="70"/>
    </row>
    <row r="698" ht="14.25" customHeight="1">
      <c r="J698" s="70"/>
    </row>
    <row r="699" ht="14.25" customHeight="1">
      <c r="J699" s="70"/>
    </row>
    <row r="700" ht="14.25" customHeight="1">
      <c r="J700" s="70"/>
    </row>
    <row r="701" ht="14.25" customHeight="1">
      <c r="J701" s="70"/>
    </row>
    <row r="702" ht="14.25" customHeight="1">
      <c r="J702" s="70"/>
    </row>
    <row r="703" ht="14.25" customHeight="1">
      <c r="J703" s="70"/>
    </row>
    <row r="704" ht="14.25" customHeight="1">
      <c r="J704" s="70"/>
    </row>
    <row r="705" ht="14.25" customHeight="1">
      <c r="J705" s="70"/>
    </row>
    <row r="706" ht="14.25" customHeight="1">
      <c r="J706" s="70"/>
    </row>
    <row r="707" ht="14.25" customHeight="1">
      <c r="J707" s="70"/>
    </row>
    <row r="708" ht="14.25" customHeight="1">
      <c r="J708" s="70"/>
    </row>
    <row r="709" ht="14.25" customHeight="1">
      <c r="J709" s="70"/>
    </row>
    <row r="710" ht="14.25" customHeight="1">
      <c r="J710" s="70"/>
    </row>
    <row r="711" ht="14.25" customHeight="1">
      <c r="J711" s="70"/>
    </row>
    <row r="712" ht="14.25" customHeight="1">
      <c r="J712" s="70"/>
    </row>
    <row r="713" ht="14.25" customHeight="1">
      <c r="J713" s="70"/>
    </row>
    <row r="714" ht="14.25" customHeight="1">
      <c r="J714" s="70"/>
    </row>
    <row r="715" ht="14.25" customHeight="1">
      <c r="J715" s="70"/>
    </row>
    <row r="716" ht="14.25" customHeight="1">
      <c r="J716" s="70"/>
    </row>
    <row r="717" ht="14.25" customHeight="1">
      <c r="J717" s="70"/>
    </row>
    <row r="718" ht="14.25" customHeight="1">
      <c r="J718" s="70"/>
    </row>
    <row r="719" ht="14.25" customHeight="1">
      <c r="J719" s="70"/>
    </row>
    <row r="720" ht="14.25" customHeight="1">
      <c r="J720" s="70"/>
    </row>
    <row r="721" ht="14.25" customHeight="1">
      <c r="J721" s="70"/>
    </row>
    <row r="722" ht="14.25" customHeight="1">
      <c r="J722" s="70"/>
    </row>
    <row r="723" ht="14.25" customHeight="1">
      <c r="J723" s="70"/>
    </row>
    <row r="724" ht="14.25" customHeight="1">
      <c r="J724" s="70"/>
    </row>
    <row r="725" ht="14.25" customHeight="1">
      <c r="J725" s="70"/>
    </row>
    <row r="726" ht="14.25" customHeight="1">
      <c r="J726" s="70"/>
    </row>
    <row r="727" ht="14.25" customHeight="1">
      <c r="J727" s="70"/>
    </row>
    <row r="728" ht="14.25" customHeight="1">
      <c r="J728" s="70"/>
    </row>
    <row r="729" ht="14.25" customHeight="1">
      <c r="J729" s="70"/>
    </row>
    <row r="730" ht="14.25" customHeight="1">
      <c r="J730" s="70"/>
    </row>
    <row r="731" ht="14.25" customHeight="1">
      <c r="J731" s="70"/>
    </row>
    <row r="732" ht="14.25" customHeight="1">
      <c r="J732" s="70"/>
    </row>
    <row r="733" ht="14.25" customHeight="1">
      <c r="J733" s="70"/>
    </row>
    <row r="734" ht="14.25" customHeight="1">
      <c r="J734" s="70"/>
    </row>
    <row r="735" ht="14.25" customHeight="1">
      <c r="J735" s="70"/>
    </row>
    <row r="736" ht="14.25" customHeight="1">
      <c r="J736" s="70"/>
    </row>
    <row r="737" ht="14.25" customHeight="1">
      <c r="J737" s="70"/>
    </row>
    <row r="738" ht="14.25" customHeight="1">
      <c r="J738" s="70"/>
    </row>
    <row r="739" ht="14.25" customHeight="1">
      <c r="J739" s="70"/>
    </row>
    <row r="740" ht="14.25" customHeight="1">
      <c r="J740" s="70"/>
    </row>
    <row r="741" ht="14.25" customHeight="1">
      <c r="J741" s="70"/>
    </row>
    <row r="742" ht="14.25" customHeight="1">
      <c r="J742" s="70"/>
    </row>
    <row r="743" ht="14.25" customHeight="1">
      <c r="J743" s="70"/>
    </row>
    <row r="744" ht="14.25" customHeight="1">
      <c r="J744" s="70"/>
    </row>
    <row r="745" ht="14.25" customHeight="1">
      <c r="J745" s="70"/>
    </row>
    <row r="746" ht="14.25" customHeight="1">
      <c r="J746" s="70"/>
    </row>
    <row r="747" ht="14.25" customHeight="1">
      <c r="J747" s="70"/>
    </row>
    <row r="748" ht="14.25" customHeight="1">
      <c r="J748" s="70"/>
    </row>
    <row r="749" ht="14.25" customHeight="1">
      <c r="J749" s="70"/>
    </row>
    <row r="750" ht="14.25" customHeight="1">
      <c r="J750" s="70"/>
    </row>
    <row r="751" ht="14.25" customHeight="1">
      <c r="J751" s="70"/>
    </row>
    <row r="752" ht="14.25" customHeight="1">
      <c r="J752" s="70"/>
    </row>
    <row r="753" ht="14.25" customHeight="1">
      <c r="J753" s="70"/>
    </row>
    <row r="754" ht="14.25" customHeight="1">
      <c r="J754" s="70"/>
    </row>
    <row r="755" ht="14.25" customHeight="1">
      <c r="J755" s="70"/>
    </row>
    <row r="756" ht="14.25" customHeight="1">
      <c r="J756" s="70"/>
    </row>
    <row r="757" ht="14.25" customHeight="1">
      <c r="J757" s="70"/>
    </row>
    <row r="758" ht="14.25" customHeight="1">
      <c r="J758" s="70"/>
    </row>
    <row r="759" ht="14.25" customHeight="1">
      <c r="J759" s="70"/>
    </row>
    <row r="760" ht="14.25" customHeight="1">
      <c r="J760" s="70"/>
    </row>
    <row r="761" ht="14.25" customHeight="1">
      <c r="J761" s="70"/>
    </row>
    <row r="762" ht="14.25" customHeight="1">
      <c r="J762" s="70"/>
    </row>
    <row r="763" ht="14.25" customHeight="1">
      <c r="J763" s="70"/>
    </row>
    <row r="764" ht="14.25" customHeight="1">
      <c r="J764" s="70"/>
    </row>
    <row r="765" ht="14.25" customHeight="1">
      <c r="J765" s="70"/>
    </row>
    <row r="766" ht="14.25" customHeight="1">
      <c r="J766" s="70"/>
    </row>
    <row r="767" ht="14.25" customHeight="1">
      <c r="J767" s="70"/>
    </row>
    <row r="768" ht="14.25" customHeight="1">
      <c r="J768" s="70"/>
    </row>
    <row r="769" ht="14.25" customHeight="1">
      <c r="J769" s="70"/>
    </row>
    <row r="770" ht="14.25" customHeight="1">
      <c r="J770" s="70"/>
    </row>
    <row r="771" ht="14.25" customHeight="1">
      <c r="J771" s="70"/>
    </row>
    <row r="772" ht="14.25" customHeight="1">
      <c r="J772" s="70"/>
    </row>
    <row r="773" ht="14.25" customHeight="1">
      <c r="J773" s="70"/>
    </row>
    <row r="774" ht="14.25" customHeight="1">
      <c r="J774" s="70"/>
    </row>
    <row r="775" ht="14.25" customHeight="1">
      <c r="J775" s="70"/>
    </row>
    <row r="776" ht="14.25" customHeight="1">
      <c r="J776" s="70"/>
    </row>
    <row r="777" ht="14.25" customHeight="1">
      <c r="J777" s="70"/>
    </row>
    <row r="778" ht="14.25" customHeight="1">
      <c r="J778" s="70"/>
    </row>
    <row r="779" ht="14.25" customHeight="1">
      <c r="J779" s="70"/>
    </row>
    <row r="780" ht="14.25" customHeight="1">
      <c r="J780" s="70"/>
    </row>
    <row r="781" ht="14.25" customHeight="1">
      <c r="J781" s="70"/>
    </row>
    <row r="782" ht="14.25" customHeight="1">
      <c r="J782" s="70"/>
    </row>
    <row r="783" ht="14.25" customHeight="1">
      <c r="J783" s="70"/>
    </row>
    <row r="784" ht="14.25" customHeight="1">
      <c r="J784" s="70"/>
    </row>
    <row r="785" ht="14.25" customHeight="1">
      <c r="J785" s="70"/>
    </row>
    <row r="786" ht="14.25" customHeight="1">
      <c r="J786" s="70"/>
    </row>
    <row r="787" ht="14.25" customHeight="1">
      <c r="J787" s="70"/>
    </row>
    <row r="788" ht="14.25" customHeight="1">
      <c r="J788" s="70"/>
    </row>
    <row r="789" ht="14.25" customHeight="1">
      <c r="J789" s="70"/>
    </row>
    <row r="790" ht="14.25" customHeight="1">
      <c r="J790" s="70"/>
    </row>
    <row r="791" ht="14.25" customHeight="1">
      <c r="J791" s="70"/>
    </row>
    <row r="792" ht="14.25" customHeight="1">
      <c r="J792" s="70"/>
    </row>
    <row r="793" ht="14.25" customHeight="1">
      <c r="J793" s="70"/>
    </row>
    <row r="794" ht="14.25" customHeight="1">
      <c r="J794" s="70"/>
    </row>
    <row r="795" ht="14.25" customHeight="1">
      <c r="J795" s="70"/>
    </row>
    <row r="796" ht="14.25" customHeight="1">
      <c r="J796" s="70"/>
    </row>
    <row r="797" ht="14.25" customHeight="1">
      <c r="J797" s="70"/>
    </row>
    <row r="798" ht="14.25" customHeight="1">
      <c r="J798" s="70"/>
    </row>
    <row r="799" ht="14.25" customHeight="1">
      <c r="J799" s="70"/>
    </row>
    <row r="800" ht="14.25" customHeight="1">
      <c r="J800" s="70"/>
    </row>
    <row r="801" ht="14.25" customHeight="1">
      <c r="J801" s="70"/>
    </row>
    <row r="802" ht="14.25" customHeight="1">
      <c r="J802" s="70"/>
    </row>
    <row r="803" ht="14.25" customHeight="1">
      <c r="J803" s="70"/>
    </row>
    <row r="804" ht="14.25" customHeight="1">
      <c r="J804" s="70"/>
    </row>
    <row r="805" ht="14.25" customHeight="1">
      <c r="J805" s="70"/>
    </row>
    <row r="806" ht="14.25" customHeight="1">
      <c r="J806" s="70"/>
    </row>
    <row r="807" ht="14.25" customHeight="1">
      <c r="J807" s="70"/>
    </row>
    <row r="808" ht="14.25" customHeight="1">
      <c r="J808" s="70"/>
    </row>
    <row r="809" ht="14.25" customHeight="1">
      <c r="J809" s="70"/>
    </row>
    <row r="810" ht="14.25" customHeight="1">
      <c r="J810" s="70"/>
    </row>
    <row r="811" ht="14.25" customHeight="1">
      <c r="J811" s="70"/>
    </row>
    <row r="812" ht="14.25" customHeight="1">
      <c r="J812" s="70"/>
    </row>
    <row r="813" ht="14.25" customHeight="1">
      <c r="J813" s="70"/>
    </row>
    <row r="814" ht="14.25" customHeight="1">
      <c r="J814" s="70"/>
    </row>
    <row r="815" ht="14.25" customHeight="1">
      <c r="J815" s="70"/>
    </row>
    <row r="816" ht="14.25" customHeight="1">
      <c r="J816" s="70"/>
    </row>
    <row r="817" ht="14.25" customHeight="1">
      <c r="J817" s="70"/>
    </row>
    <row r="818" ht="14.25" customHeight="1">
      <c r="J818" s="70"/>
    </row>
    <row r="819" ht="14.25" customHeight="1">
      <c r="J819" s="70"/>
    </row>
    <row r="820" ht="14.25" customHeight="1">
      <c r="J820" s="70"/>
    </row>
    <row r="821" ht="14.25" customHeight="1">
      <c r="J821" s="70"/>
    </row>
    <row r="822" ht="14.25" customHeight="1">
      <c r="J822" s="70"/>
    </row>
    <row r="823" ht="14.25" customHeight="1">
      <c r="J823" s="70"/>
    </row>
    <row r="824" ht="14.25" customHeight="1">
      <c r="J824" s="70"/>
    </row>
    <row r="825" ht="14.25" customHeight="1">
      <c r="J825" s="70"/>
    </row>
    <row r="826" ht="14.25" customHeight="1">
      <c r="J826" s="70"/>
    </row>
    <row r="827" ht="14.25" customHeight="1">
      <c r="J827" s="70"/>
    </row>
    <row r="828" ht="14.25" customHeight="1">
      <c r="J828" s="70"/>
    </row>
    <row r="829" ht="14.25" customHeight="1">
      <c r="J829" s="70"/>
    </row>
    <row r="830" ht="14.25" customHeight="1">
      <c r="J830" s="70"/>
    </row>
    <row r="831" ht="14.25" customHeight="1">
      <c r="J831" s="70"/>
    </row>
    <row r="832" ht="14.25" customHeight="1">
      <c r="J832" s="70"/>
    </row>
    <row r="833" ht="14.25" customHeight="1">
      <c r="J833" s="70"/>
    </row>
    <row r="834" ht="14.25" customHeight="1">
      <c r="J834" s="70"/>
    </row>
    <row r="835" ht="14.25" customHeight="1">
      <c r="J835" s="70"/>
    </row>
    <row r="836" ht="14.25" customHeight="1">
      <c r="J836" s="70"/>
    </row>
    <row r="837" ht="14.25" customHeight="1">
      <c r="J837" s="70"/>
    </row>
    <row r="838" ht="14.25" customHeight="1">
      <c r="J838" s="70"/>
    </row>
    <row r="839" ht="14.25" customHeight="1">
      <c r="J839" s="70"/>
    </row>
    <row r="840" ht="14.25" customHeight="1">
      <c r="J840" s="70"/>
    </row>
    <row r="841" ht="14.25" customHeight="1">
      <c r="J841" s="70"/>
    </row>
    <row r="842" ht="14.25" customHeight="1">
      <c r="J842" s="70"/>
    </row>
    <row r="843" ht="14.25" customHeight="1">
      <c r="J843" s="70"/>
    </row>
    <row r="844" ht="14.25" customHeight="1">
      <c r="J844" s="70"/>
    </row>
    <row r="845" ht="14.25" customHeight="1">
      <c r="J845" s="70"/>
    </row>
    <row r="846" ht="14.25" customHeight="1">
      <c r="J846" s="70"/>
    </row>
    <row r="847" ht="14.25" customHeight="1">
      <c r="J847" s="70"/>
    </row>
    <row r="848" ht="14.25" customHeight="1">
      <c r="J848" s="70"/>
    </row>
    <row r="849" ht="14.25" customHeight="1">
      <c r="J849" s="70"/>
    </row>
    <row r="850" ht="14.25" customHeight="1">
      <c r="J850" s="70"/>
    </row>
    <row r="851" ht="14.25" customHeight="1">
      <c r="J851" s="70"/>
    </row>
    <row r="852" ht="14.25" customHeight="1">
      <c r="J852" s="70"/>
    </row>
    <row r="853" ht="14.25" customHeight="1">
      <c r="J853" s="70"/>
    </row>
    <row r="854" ht="14.25" customHeight="1">
      <c r="J854" s="70"/>
    </row>
    <row r="855" ht="14.25" customHeight="1">
      <c r="J855" s="70"/>
    </row>
    <row r="856" ht="14.25" customHeight="1">
      <c r="J856" s="70"/>
    </row>
    <row r="857" ht="14.25" customHeight="1">
      <c r="J857" s="70"/>
    </row>
    <row r="858" ht="14.25" customHeight="1">
      <c r="J858" s="70"/>
    </row>
    <row r="859" ht="14.25" customHeight="1">
      <c r="J859" s="70"/>
    </row>
    <row r="860" ht="14.25" customHeight="1">
      <c r="J860" s="70"/>
    </row>
    <row r="861" ht="14.25" customHeight="1">
      <c r="J861" s="70"/>
    </row>
    <row r="862" ht="14.25" customHeight="1">
      <c r="J862" s="70"/>
    </row>
    <row r="863" ht="14.25" customHeight="1">
      <c r="J863" s="70"/>
    </row>
    <row r="864" ht="14.25" customHeight="1">
      <c r="J864" s="70"/>
    </row>
    <row r="865" ht="14.25" customHeight="1">
      <c r="J865" s="70"/>
    </row>
    <row r="866" ht="14.25" customHeight="1">
      <c r="J866" s="70"/>
    </row>
    <row r="867" ht="14.25" customHeight="1">
      <c r="J867" s="70"/>
    </row>
    <row r="868" ht="14.25" customHeight="1">
      <c r="J868" s="70"/>
    </row>
    <row r="869" ht="14.25" customHeight="1">
      <c r="J869" s="70"/>
    </row>
    <row r="870" ht="14.25" customHeight="1">
      <c r="J870" s="70"/>
    </row>
    <row r="871" ht="14.25" customHeight="1">
      <c r="J871" s="70"/>
    </row>
    <row r="872" ht="14.25" customHeight="1">
      <c r="J872" s="70"/>
    </row>
    <row r="873" ht="14.25" customHeight="1">
      <c r="J873" s="70"/>
    </row>
    <row r="874" ht="14.25" customHeight="1">
      <c r="J874" s="70"/>
    </row>
    <row r="875" ht="14.25" customHeight="1">
      <c r="J875" s="70"/>
    </row>
    <row r="876" ht="14.25" customHeight="1">
      <c r="J876" s="70"/>
    </row>
    <row r="877" ht="14.25" customHeight="1">
      <c r="J877" s="70"/>
    </row>
    <row r="878" ht="14.25" customHeight="1">
      <c r="J878" s="70"/>
    </row>
    <row r="879" ht="14.25" customHeight="1">
      <c r="J879" s="70"/>
    </row>
    <row r="880" ht="14.25" customHeight="1">
      <c r="J880" s="70"/>
    </row>
    <row r="881" ht="14.25" customHeight="1">
      <c r="J881" s="70"/>
    </row>
    <row r="882" ht="14.25" customHeight="1">
      <c r="J882" s="70"/>
    </row>
    <row r="883" ht="14.25" customHeight="1">
      <c r="J883" s="70"/>
    </row>
    <row r="884" ht="14.25" customHeight="1">
      <c r="J884" s="70"/>
    </row>
    <row r="885" ht="14.25" customHeight="1">
      <c r="J885" s="70"/>
    </row>
    <row r="886" ht="14.25" customHeight="1">
      <c r="J886" s="70"/>
    </row>
    <row r="887" ht="14.25" customHeight="1">
      <c r="J887" s="70"/>
    </row>
    <row r="888" ht="14.25" customHeight="1">
      <c r="J888" s="70"/>
    </row>
    <row r="889" ht="14.25" customHeight="1">
      <c r="J889" s="70"/>
    </row>
    <row r="890" ht="14.25" customHeight="1">
      <c r="J890" s="70"/>
    </row>
    <row r="891" ht="14.25" customHeight="1">
      <c r="J891" s="70"/>
    </row>
    <row r="892" ht="14.25" customHeight="1">
      <c r="J892" s="70"/>
    </row>
    <row r="893" ht="14.25" customHeight="1">
      <c r="J893" s="70"/>
    </row>
    <row r="894" ht="14.25" customHeight="1">
      <c r="J894" s="70"/>
    </row>
    <row r="895" ht="14.25" customHeight="1">
      <c r="J895" s="70"/>
    </row>
    <row r="896" ht="14.25" customHeight="1">
      <c r="J896" s="70"/>
    </row>
    <row r="897" ht="14.25" customHeight="1">
      <c r="J897" s="70"/>
    </row>
    <row r="898" ht="14.25" customHeight="1">
      <c r="J898" s="70"/>
    </row>
    <row r="899" ht="14.25" customHeight="1">
      <c r="J899" s="70"/>
    </row>
    <row r="900" ht="14.25" customHeight="1">
      <c r="J900" s="70"/>
    </row>
    <row r="901" ht="14.25" customHeight="1">
      <c r="J901" s="70"/>
    </row>
    <row r="902" ht="14.25" customHeight="1">
      <c r="J902" s="70"/>
    </row>
    <row r="903" ht="14.25" customHeight="1">
      <c r="J903" s="70"/>
    </row>
    <row r="904" ht="14.25" customHeight="1">
      <c r="J904" s="70"/>
    </row>
    <row r="905" ht="14.25" customHeight="1">
      <c r="J905" s="70"/>
    </row>
    <row r="906" ht="14.25" customHeight="1">
      <c r="J906" s="70"/>
    </row>
    <row r="907" ht="14.25" customHeight="1">
      <c r="J907" s="70"/>
    </row>
    <row r="908" ht="14.25" customHeight="1">
      <c r="J908" s="70"/>
    </row>
    <row r="909" ht="14.25" customHeight="1">
      <c r="J909" s="70"/>
    </row>
    <row r="910" ht="14.25" customHeight="1">
      <c r="J910" s="70"/>
    </row>
    <row r="911" ht="14.25" customHeight="1">
      <c r="J911" s="70"/>
    </row>
    <row r="912" ht="14.25" customHeight="1">
      <c r="J912" s="70"/>
    </row>
    <row r="913" ht="14.25" customHeight="1">
      <c r="J913" s="70"/>
    </row>
    <row r="914" ht="14.25" customHeight="1">
      <c r="J914" s="70"/>
    </row>
    <row r="915" ht="14.25" customHeight="1">
      <c r="J915" s="70"/>
    </row>
    <row r="916" ht="14.25" customHeight="1">
      <c r="J916" s="70"/>
    </row>
    <row r="917" ht="14.25" customHeight="1">
      <c r="J917" s="70"/>
    </row>
    <row r="918" ht="14.25" customHeight="1">
      <c r="J918" s="70"/>
    </row>
    <row r="919" ht="14.25" customHeight="1">
      <c r="J919" s="70"/>
    </row>
    <row r="920" ht="14.25" customHeight="1">
      <c r="J920" s="70"/>
    </row>
    <row r="921" ht="14.25" customHeight="1">
      <c r="J921" s="70"/>
    </row>
    <row r="922" ht="14.25" customHeight="1">
      <c r="J922" s="70"/>
    </row>
    <row r="923" ht="14.25" customHeight="1">
      <c r="J923" s="70"/>
    </row>
    <row r="924" ht="14.25" customHeight="1">
      <c r="J924" s="70"/>
    </row>
    <row r="925" ht="14.25" customHeight="1">
      <c r="J925" s="70"/>
    </row>
    <row r="926" ht="14.25" customHeight="1">
      <c r="J926" s="70"/>
    </row>
    <row r="927" ht="14.25" customHeight="1">
      <c r="J927" s="70"/>
    </row>
    <row r="928" ht="14.25" customHeight="1">
      <c r="J928" s="70"/>
    </row>
    <row r="929" ht="14.25" customHeight="1">
      <c r="J929" s="70"/>
    </row>
    <row r="930" ht="14.25" customHeight="1">
      <c r="J930" s="70"/>
    </row>
    <row r="931" ht="14.25" customHeight="1">
      <c r="J931" s="70"/>
    </row>
    <row r="932" ht="14.25" customHeight="1">
      <c r="J932" s="70"/>
    </row>
    <row r="933" ht="14.25" customHeight="1">
      <c r="J933" s="70"/>
    </row>
    <row r="934" ht="14.25" customHeight="1">
      <c r="J934" s="70"/>
    </row>
    <row r="935" ht="14.25" customHeight="1">
      <c r="J935" s="70"/>
    </row>
    <row r="936" ht="14.25" customHeight="1">
      <c r="J936" s="70"/>
    </row>
    <row r="937" ht="14.25" customHeight="1">
      <c r="J937" s="70"/>
    </row>
    <row r="938" ht="14.25" customHeight="1">
      <c r="J938" s="70"/>
    </row>
    <row r="939" ht="14.25" customHeight="1">
      <c r="J939" s="70"/>
    </row>
    <row r="940" ht="14.25" customHeight="1">
      <c r="J940" s="70"/>
    </row>
    <row r="941" ht="14.25" customHeight="1">
      <c r="J941" s="70"/>
    </row>
    <row r="942" ht="14.25" customHeight="1">
      <c r="J942" s="70"/>
    </row>
    <row r="943" ht="14.25" customHeight="1">
      <c r="J943" s="70"/>
    </row>
    <row r="944" ht="14.25" customHeight="1">
      <c r="J944" s="70"/>
    </row>
    <row r="945" ht="14.25" customHeight="1">
      <c r="J945" s="70"/>
    </row>
    <row r="946" ht="14.25" customHeight="1">
      <c r="J946" s="70"/>
    </row>
    <row r="947" ht="14.25" customHeight="1">
      <c r="J947" s="70"/>
    </row>
    <row r="948" ht="14.25" customHeight="1">
      <c r="J948" s="70"/>
    </row>
    <row r="949" ht="14.25" customHeight="1">
      <c r="J949" s="70"/>
    </row>
    <row r="950" ht="14.25" customHeight="1">
      <c r="J950" s="70"/>
    </row>
    <row r="951" ht="14.25" customHeight="1">
      <c r="J951" s="70"/>
    </row>
    <row r="952" ht="14.25" customHeight="1">
      <c r="J952" s="70"/>
    </row>
    <row r="953" ht="14.25" customHeight="1">
      <c r="J953" s="70"/>
    </row>
    <row r="954" ht="14.25" customHeight="1">
      <c r="J954" s="70"/>
    </row>
    <row r="955" ht="14.25" customHeight="1">
      <c r="J955" s="70"/>
    </row>
    <row r="956" ht="14.25" customHeight="1">
      <c r="J956" s="70"/>
    </row>
    <row r="957" ht="14.25" customHeight="1">
      <c r="J957" s="70"/>
    </row>
    <row r="958" ht="14.25" customHeight="1">
      <c r="J958" s="70"/>
    </row>
    <row r="959" ht="14.25" customHeight="1">
      <c r="J959" s="70"/>
    </row>
    <row r="960" ht="14.25" customHeight="1">
      <c r="J960" s="70"/>
    </row>
    <row r="961" ht="14.25" customHeight="1">
      <c r="J961" s="70"/>
    </row>
    <row r="962" ht="14.25" customHeight="1">
      <c r="J962" s="70"/>
    </row>
    <row r="963" ht="14.25" customHeight="1">
      <c r="J963" s="70"/>
    </row>
    <row r="964" ht="14.25" customHeight="1">
      <c r="J964" s="70"/>
    </row>
    <row r="965" ht="14.25" customHeight="1">
      <c r="J965" s="70"/>
    </row>
    <row r="966" ht="14.25" customHeight="1">
      <c r="J966" s="70"/>
    </row>
    <row r="967" ht="14.25" customHeight="1">
      <c r="J967" s="70"/>
    </row>
    <row r="968" ht="14.25" customHeight="1">
      <c r="J968" s="70"/>
    </row>
    <row r="969" ht="14.25" customHeight="1">
      <c r="J969" s="70"/>
    </row>
    <row r="970" ht="14.25" customHeight="1">
      <c r="J970" s="70"/>
    </row>
    <row r="971" ht="14.25" customHeight="1">
      <c r="J971" s="70"/>
    </row>
    <row r="972" ht="14.25" customHeight="1">
      <c r="J972" s="70"/>
    </row>
    <row r="973" ht="14.25" customHeight="1">
      <c r="J973" s="70"/>
    </row>
    <row r="974" ht="14.25" customHeight="1">
      <c r="J974" s="70"/>
    </row>
    <row r="975" ht="14.25" customHeight="1">
      <c r="J975" s="70"/>
    </row>
    <row r="976" ht="14.25" customHeight="1">
      <c r="J976" s="70"/>
    </row>
    <row r="977" ht="14.25" customHeight="1">
      <c r="J977" s="70"/>
    </row>
    <row r="978" ht="14.25" customHeight="1">
      <c r="J978" s="70"/>
    </row>
    <row r="979" ht="14.25" customHeight="1">
      <c r="J979" s="70"/>
    </row>
    <row r="980" ht="14.25" customHeight="1">
      <c r="J980" s="70"/>
    </row>
    <row r="981" ht="14.25" customHeight="1">
      <c r="J981" s="70"/>
    </row>
    <row r="982" ht="14.25" customHeight="1">
      <c r="J982" s="70"/>
    </row>
    <row r="983" ht="14.25" customHeight="1">
      <c r="J983" s="70"/>
    </row>
    <row r="984" ht="14.25" customHeight="1">
      <c r="J984" s="70"/>
    </row>
    <row r="985" ht="14.25" customHeight="1">
      <c r="J985" s="70"/>
    </row>
    <row r="986" ht="14.25" customHeight="1">
      <c r="J986" s="70"/>
    </row>
    <row r="987" ht="14.25" customHeight="1">
      <c r="J987" s="70"/>
    </row>
    <row r="988" ht="14.25" customHeight="1">
      <c r="J988" s="70"/>
    </row>
    <row r="989" ht="14.25" customHeight="1">
      <c r="J989" s="70"/>
    </row>
    <row r="990" ht="14.25" customHeight="1">
      <c r="J990" s="70"/>
    </row>
    <row r="991" ht="14.25" customHeight="1">
      <c r="J991" s="70"/>
    </row>
    <row r="992" ht="14.25" customHeight="1">
      <c r="J992" s="70"/>
    </row>
    <row r="993" ht="14.25" customHeight="1">
      <c r="J993" s="70"/>
    </row>
    <row r="994" ht="14.25" customHeight="1">
      <c r="J994" s="70"/>
    </row>
    <row r="995" ht="14.25" customHeight="1">
      <c r="J995" s="70"/>
    </row>
    <row r="996" ht="14.25" customHeight="1">
      <c r="J996" s="70"/>
    </row>
    <row r="997" ht="14.25" customHeight="1">
      <c r="J997" s="70"/>
    </row>
    <row r="998" ht="14.25" customHeight="1">
      <c r="J998" s="70"/>
    </row>
    <row r="999" ht="14.25" customHeight="1">
      <c r="J999" s="70"/>
    </row>
    <row r="1000" ht="14.25" customHeight="1">
      <c r="J1000" s="7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2017-11-09T19:23:31Z</dcterms:created>
  <dc:creator>Mikel Ayani</dc:creator>
</cp:coreProperties>
</file>